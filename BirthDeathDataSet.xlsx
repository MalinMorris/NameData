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soe365-my.sharepoint.com/personal/morrism_msoe_edu/Documents/Desktop/names/Other Stuff/"/>
    </mc:Choice>
  </mc:AlternateContent>
  <xr:revisionPtr revIDLastSave="504" documentId="13_ncr:1_{DE4BBF0A-01C5-4157-96DB-4303C9F3A6FA}" xr6:coauthVersionLast="47" xr6:coauthVersionMax="47" xr10:uidLastSave="{CEB52436-9C5B-4AC1-8401-E032DC7473BC}"/>
  <bookViews>
    <workbookView xWindow="-110" yWindow="-110" windowWidth="19420" windowHeight="11500" xr2:uid="{00000000-000D-0000-FFFF-FFFF00000000}"/>
  </bookViews>
  <sheets>
    <sheet name="Data" sheetId="1" r:id="rId1"/>
    <sheet name="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62" i="1"/>
</calcChain>
</file>

<file path=xl/sharedStrings.xml><?xml version="1.0" encoding="utf-8"?>
<sst xmlns="http://schemas.openxmlformats.org/spreadsheetml/2006/main" count="483" uniqueCount="154">
  <si>
    <t>Year</t>
  </si>
  <si>
    <t>General Fertility Rate</t>
  </si>
  <si>
    <t>Crude Birth Rate</t>
  </si>
  <si>
    <t>Top F Name</t>
  </si>
  <si>
    <t>Top M Name</t>
  </si>
  <si>
    <t>mary</t>
  </si>
  <si>
    <t>john</t>
  </si>
  <si>
    <t>robert</t>
  </si>
  <si>
    <t>james</t>
  </si>
  <si>
    <t>linda</t>
  </si>
  <si>
    <t>michael</t>
  </si>
  <si>
    <t>david</t>
  </si>
  <si>
    <t>lisa</t>
  </si>
  <si>
    <t>jennifer</t>
  </si>
  <si>
    <t>jessica</t>
  </si>
  <si>
    <t>ashley</t>
  </si>
  <si>
    <t>emily</t>
  </si>
  <si>
    <t>jacob</t>
  </si>
  <si>
    <t>emma</t>
  </si>
  <si>
    <t>isabella</t>
  </si>
  <si>
    <t>sophia</t>
  </si>
  <si>
    <t>noah</t>
  </si>
  <si>
    <t>liam</t>
  </si>
  <si>
    <t>olivia</t>
  </si>
  <si>
    <t>Life Expectancy at Birth</t>
  </si>
  <si>
    <t>Female Life Expectancy at Birth</t>
  </si>
  <si>
    <t>Male Life Expectancy at Birth</t>
  </si>
  <si>
    <t>Sources</t>
  </si>
  <si>
    <t>Abbr</t>
  </si>
  <si>
    <t>Full</t>
  </si>
  <si>
    <t>FLEB</t>
  </si>
  <si>
    <t>MLEB</t>
  </si>
  <si>
    <t>NCHS Data Visualization Gallery - Mortality Trends in the United States (1900-2018), https://stacks.cdc.gov/view/cdc/174588 pg 31 (2019-2022)</t>
  </si>
  <si>
    <t>LEB</t>
  </si>
  <si>
    <t>Popular Baby Names</t>
  </si>
  <si>
    <t>name_F</t>
  </si>
  <si>
    <t>name_M</t>
  </si>
  <si>
    <t>Popular Baby Names | SSA, individually for each year</t>
  </si>
  <si>
    <t>per_name_F</t>
  </si>
  <si>
    <t>per_name_M</t>
  </si>
  <si>
    <t>Exact Percent of #1 F Name</t>
  </si>
  <si>
    <t>Exact Percent of #1 M Name</t>
  </si>
  <si>
    <t>count_name_F</t>
  </si>
  <si>
    <t>count_name_M</t>
  </si>
  <si>
    <t>Exact Count of #1 F Name</t>
  </si>
  <si>
    <t>Exact Count of #1 M Name</t>
  </si>
  <si>
    <t>birth_num_CDC</t>
  </si>
  <si>
    <t>Birth Number From CDC Sources</t>
  </si>
  <si>
    <t>https://www.cdc.gov/nchs/data/series/sr_21/sr21_008acc.pdf table 1</t>
  </si>
  <si>
    <t>total_SSA</t>
  </si>
  <si>
    <t>Total in SSA</t>
  </si>
  <si>
    <t>Explanation</t>
  </si>
  <si>
    <t>NCHS Data Visualization Gallery - Natality Trends in the United States (1909-2018), https://www.cdc.gov/nchs/data/nvsr/nvsr61/nvsr61_04.pdf (reports of this style for 2018-2024)</t>
  </si>
  <si>
    <t>The expectancy of how long a female baby will live given the year it was born</t>
  </si>
  <si>
    <t>The expectancy of how long a male baby will live given the year it was born</t>
  </si>
  <si>
    <t>The expectancy of how long a baby will live given the year it was born</t>
  </si>
  <si>
    <t>The first name given to the most female babies</t>
  </si>
  <si>
    <t>The first name given to the most male babies</t>
  </si>
  <si>
    <t>The percent of female babies given the number one name out of the total registered with SSA that year</t>
  </si>
  <si>
    <t>The percent of male babies given the number one name out of the total registered with SSA that year</t>
  </si>
  <si>
    <t>The number of female babies given the number one name out of the total registered with SSA that year</t>
  </si>
  <si>
    <t>The number of male babies given the number one name out of the total registered with SSA that year</t>
  </si>
  <si>
    <t>The number of babies recorded as being born in the given year, all numbers prior to 1950 are estimates accounting for underregistration</t>
  </si>
  <si>
    <t>Estimation of the number of babies REGISTERED in the SSA beyond top 1000 dataset, calculated from the percent and number of the top name for each sex and adding male + female</t>
  </si>
  <si>
    <t>f_SSA</t>
  </si>
  <si>
    <t>m_SSA</t>
  </si>
  <si>
    <t>Female Babies in SSA</t>
  </si>
  <si>
    <t>Male Babies in SSA</t>
  </si>
  <si>
    <t>Calculated</t>
  </si>
  <si>
    <t>GFR</t>
  </si>
  <si>
    <t>Number of live births per 1,000 females aged 15-44</t>
  </si>
  <si>
    <t>CBR</t>
  </si>
  <si>
    <t>Number of live births per 1,000 in population</t>
  </si>
  <si>
    <t>child_mortality</t>
  </si>
  <si>
    <t>Under 5 Mortality Rate</t>
  </si>
  <si>
    <t>name_rate</t>
  </si>
  <si>
    <t>Top Name Rate</t>
  </si>
  <si>
    <t>name_rate_10</t>
  </si>
  <si>
    <t>Top 10 Name Rate</t>
  </si>
  <si>
    <t>See name_rate, but its for the top 10 names</t>
  </si>
  <si>
    <t>infant_mortality</t>
  </si>
  <si>
    <t>Infant Mortality Rate</t>
  </si>
  <si>
    <t>Number of babies per 1,000 live births who died before their first birthday</t>
  </si>
  <si>
    <t>num_infant_mortality</t>
  </si>
  <si>
    <t>Number of Dead Babies</t>
  </si>
  <si>
    <t>Number of babies who died before their first birthday</t>
  </si>
  <si>
    <t>infant_male</t>
  </si>
  <si>
    <t>infant_female</t>
  </si>
  <si>
    <t>Number of Dead Male</t>
  </si>
  <si>
    <t>Number of Dead Female</t>
  </si>
  <si>
    <t>Number of male babies who died before their first birthday</t>
  </si>
  <si>
    <t>Number of female babies who died before their first birthday</t>
  </si>
  <si>
    <t>NCHS Data Visualization Gallery - Mortality Trends in the United States (1900-2018), final death report for each year otherwise</t>
  </si>
  <si>
    <t>born_male</t>
  </si>
  <si>
    <t>born_female</t>
  </si>
  <si>
    <t>Number of Male Babies Born</t>
  </si>
  <si>
    <t>Number of Female Babies Born</t>
  </si>
  <si>
    <t>Number of male babies born</t>
  </si>
  <si>
    <t>Number of female babies born</t>
  </si>
  <si>
    <t>National Vital Statistics Reports, Vol. 53, No. 20, (6/14/2005) (1940-2002), https://wonder.cdc.gov/natality-current.html (2003-2024, this is the secret data)</t>
  </si>
  <si>
    <t>birth_num_exact</t>
  </si>
  <si>
    <t>Is Birth Number Exact</t>
  </si>
  <si>
    <t>0 if birth number is NOT exact, 1 if it is</t>
  </si>
  <si>
    <t>Time</t>
  </si>
  <si>
    <t>year</t>
  </si>
  <si>
    <t>Just the year the data is from</t>
  </si>
  <si>
    <t>Sources By Year As Updated</t>
  </si>
  <si>
    <t>NCHS Data Brief, Number 535, July 2025</t>
  </si>
  <si>
    <t>Number of registered babies with SSA given the top name per 1000 registered (number of female given top female name + number of male given top male name / number registered * 1000)</t>
  </si>
  <si>
    <t>Date Updated</t>
  </si>
  <si>
    <t>Info Updated</t>
  </si>
  <si>
    <t>Number of children per 100,000 who died before their fifth birthday</t>
  </si>
  <si>
    <t>NCHS Data Visualization Gallery - Mortality Trends in the United States (1900-2018), final death report for each year otherwise I think (honestly: I don't entirely remember but am actively searching), https://www.cdc.gov/nchs/products/vsus/vsus_1890_1938.htm census reports for 1880 and 1890 (for the CENSUS year not the CALENDAR year)</t>
  </si>
  <si>
    <t>NCHS Data Visualization Gallery - Mortality Trends in the United States (1900-2018), final death report for each year otherwise, https://www.cdc.gov/nchs/products/vsus/vsus_1890_1938.htm census reports for 1880 and 1890 (for the CENSUS year not the CALENDAR year) https://www.cdc.gov/nchs/products/vsus/vsus_1890_1938.htm (1880 report for 1880, 1890 report for 1890)</t>
  </si>
  <si>
    <t>Anything birth, name related, deaths untouched, for 2024</t>
  </si>
  <si>
    <t>Vital Statistics Rapid Release, Number 043 (April 2026)</t>
  </si>
  <si>
    <t>Natality, 2007-2023 Request</t>
  </si>
  <si>
    <t>Male, female birth numbers for 2024</t>
  </si>
  <si>
    <t>Infant Mortality in the United States: Provisional Data From the 2024 Period Linked Birth/Infant Death Files</t>
  </si>
  <si>
    <t>Infant mortality for 2024 updated</t>
  </si>
  <si>
    <t>Vital Statistics Rapid Release, Number 037 (November 2024)</t>
  </si>
  <si>
    <t xml:space="preserve">Updated 2023 infant mortality rate, number from initial to final data </t>
  </si>
  <si>
    <t>Anything birth (not by sex), name related, deaths untouched, for 2025</t>
  </si>
  <si>
    <t>per_male</t>
  </si>
  <si>
    <t>Percent of babies that are male</t>
  </si>
  <si>
    <t>Percent of total babies that are assigned male at birth (male / total)</t>
  </si>
  <si>
    <t>All</t>
  </si>
  <si>
    <t>Estimation of the number of male babies REGISTERED in the SSA beyond top 1000 dataset, calculated from  number of the top name for male / percent of top name for male</t>
  </si>
  <si>
    <t>Estimation of the number of female babies REGISTERED in the SSA beyond top 1000 dataset, calculated number of the top name for female / percent of top name for female</t>
  </si>
  <si>
    <t>per_SSA</t>
  </si>
  <si>
    <t>Percent of babies in SSA name dataset</t>
  </si>
  <si>
    <t>Added per_male column, per_SSA column, added actual calculations for f_SSA, m_SSA, total_SSA. Per_SSA no longer lines up with previous calculations after adjusting f_SSA, m_SSA</t>
  </si>
  <si>
    <t>num_SSA</t>
  </si>
  <si>
    <t>Number of babies in beyond top 1000 dataset</t>
  </si>
  <si>
    <t>Calculated by summing the count of every name for both sexes in a given year</t>
  </si>
  <si>
    <t>Fixed per_SSA and added num_SSA</t>
  </si>
  <si>
    <t>Products - Data Briefs - Number 548 - January 2026</t>
  </si>
  <si>
    <t>Death statistics and life expectancy (LEB for 2023 as well), but not male/female infant deaths</t>
  </si>
  <si>
    <t>card_holders_f</t>
  </si>
  <si>
    <t>card_holders_m</t>
  </si>
  <si>
    <t>card_holders</t>
  </si>
  <si>
    <t>Social Security number holders</t>
  </si>
  <si>
    <t>Card holder numbers from SSA, f, m, and both</t>
  </si>
  <si>
    <t>Number of Female Card Holders</t>
  </si>
  <si>
    <t>Number of female babies born that year with a card registered with SSA</t>
  </si>
  <si>
    <t>Number of Male Card Holders</t>
  </si>
  <si>
    <t>Number of babies born that year with a card registered with SSA</t>
  </si>
  <si>
    <t>Number of male babies born that year with a card registered with SSA</t>
  </si>
  <si>
    <t>Total Number of Card Holders</t>
  </si>
  <si>
    <t>ALL</t>
  </si>
  <si>
    <t>Removed</t>
  </si>
  <si>
    <t>Removed estimated columns f_SSA, m_SSA, and total_SSA as the ACTUAL numbers have been found</t>
  </si>
  <si>
    <t>Changed per_SSA calculation to use new numbers added from columns added</t>
  </si>
  <si>
    <t>Percent of babies given a name with 5 or more occurences in their respective sex, (num_SSA / card_holders *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</si>
</sst>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0" fontId="0" fillId="0" borderId="0" xfId="0" applyAlignment="1">
      <alignment horizontal="fill"/>
    </xf>
    <xf numFmtId="0" fontId="1" fillId="0" borderId="2" xfId="0" applyFont="1" applyFill="1" applyBorder="1" applyAlignment="1">
      <alignment horizontal="center" vertical="top"/>
    </xf>
    <xf numFmtId="0" fontId="4" fillId="0" borderId="0" xfId="1" applyFont="1"/>
    <xf numFmtId="0" fontId="3" fillId="0" borderId="0" xfId="0" applyFont="1"/>
    <xf numFmtId="0" fontId="3" fillId="0" borderId="0" xfId="0" applyFont="1" applyAlignment="1">
      <alignment horizontal="fill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sa.gov/OACT/babynames/index.html" TargetMode="External"/><Relationship Id="rId13" Type="http://schemas.openxmlformats.org/officeDocument/2006/relationships/hyperlink" Target="https://www.cdc.gov/nchs/data-visualization/mortality-trends/index.htm" TargetMode="External"/><Relationship Id="rId18" Type="http://schemas.openxmlformats.org/officeDocument/2006/relationships/hyperlink" Target="https://www.cdc.gov/nchs/data/nvsr/nvsr53/nvsr53_20.pdf" TargetMode="External"/><Relationship Id="rId26" Type="http://schemas.openxmlformats.org/officeDocument/2006/relationships/hyperlink" Target="https://www.ssa.gov/OACT/babynames/numberUSbirths.html" TargetMode="External"/><Relationship Id="rId3" Type="http://schemas.openxmlformats.org/officeDocument/2006/relationships/hyperlink" Target="https://www.cdc.gov/nchs/data-visualization/mortality-trends/" TargetMode="External"/><Relationship Id="rId21" Type="http://schemas.openxmlformats.org/officeDocument/2006/relationships/hyperlink" Target="https://wonder.cdc.gov/natality-current.html" TargetMode="External"/><Relationship Id="rId7" Type="http://schemas.openxmlformats.org/officeDocument/2006/relationships/hyperlink" Target="https://www.ssa.gov/OACT/babynames/index.html" TargetMode="External"/><Relationship Id="rId12" Type="http://schemas.openxmlformats.org/officeDocument/2006/relationships/hyperlink" Target="https://www.cdc.gov/nchs/data-visualization/natality-trends/" TargetMode="External"/><Relationship Id="rId17" Type="http://schemas.openxmlformats.org/officeDocument/2006/relationships/hyperlink" Target="https://www.cdc.gov/nchs/data/nvsr/nvsr53/nvsr53_20.pdf" TargetMode="External"/><Relationship Id="rId25" Type="http://schemas.openxmlformats.org/officeDocument/2006/relationships/hyperlink" Target="https://www.ssa.gov/OACT/babynames/numberUSbirths.html" TargetMode="External"/><Relationship Id="rId2" Type="http://schemas.openxmlformats.org/officeDocument/2006/relationships/hyperlink" Target="https://www.cdc.gov/nchs/data-visualization/mortality-trends/" TargetMode="External"/><Relationship Id="rId16" Type="http://schemas.openxmlformats.org/officeDocument/2006/relationships/hyperlink" Target="https://www.cdc.gov/nchs/data-visualization/mortality-trends/index.htm" TargetMode="External"/><Relationship Id="rId20" Type="http://schemas.openxmlformats.org/officeDocument/2006/relationships/hyperlink" Target="https://www.cdc.gov/nchs/data/vsrr/vsrr043.pdf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https://www.cdc.gov/nchs/data-visualization/mortality-trends/" TargetMode="External"/><Relationship Id="rId6" Type="http://schemas.openxmlformats.org/officeDocument/2006/relationships/hyperlink" Target="https://www.ssa.gov/OACT/babynames/index.html" TargetMode="External"/><Relationship Id="rId11" Type="http://schemas.openxmlformats.org/officeDocument/2006/relationships/hyperlink" Target="https://www.cdc.gov/nchs/data-visualization/natality-trends/" TargetMode="External"/><Relationship Id="rId24" Type="http://schemas.openxmlformats.org/officeDocument/2006/relationships/hyperlink" Target="https://www.cdc.gov/nchs/products/databriefs/db548.htm" TargetMode="External"/><Relationship Id="rId5" Type="http://schemas.openxmlformats.org/officeDocument/2006/relationships/hyperlink" Target="https://www.ssa.gov/OACT/babynames/limits.html" TargetMode="External"/><Relationship Id="rId15" Type="http://schemas.openxmlformats.org/officeDocument/2006/relationships/hyperlink" Target="https://www.cdc.gov/nchs/data-visualization/mortality-trends/index.htm" TargetMode="External"/><Relationship Id="rId23" Type="http://schemas.openxmlformats.org/officeDocument/2006/relationships/hyperlink" Target="https://www.cdc.gov/nchs/data/vsrr/vsrr037.pdf" TargetMode="External"/><Relationship Id="rId28" Type="http://schemas.openxmlformats.org/officeDocument/2006/relationships/hyperlink" Target="https://www.ssa.gov/OACT/babynames/numberUSbirths.html" TargetMode="External"/><Relationship Id="rId10" Type="http://schemas.openxmlformats.org/officeDocument/2006/relationships/hyperlink" Target="https://www.cdc.gov/nchs/data-visualization/natality-trends/" TargetMode="External"/><Relationship Id="rId19" Type="http://schemas.openxmlformats.org/officeDocument/2006/relationships/hyperlink" Target="https://www.cdc.gov/nchs/data/databriefs/db535.pdf" TargetMode="External"/><Relationship Id="rId4" Type="http://schemas.openxmlformats.org/officeDocument/2006/relationships/hyperlink" Target="https://www.ssa.gov/OACT/babynames/limits.html" TargetMode="External"/><Relationship Id="rId9" Type="http://schemas.openxmlformats.org/officeDocument/2006/relationships/hyperlink" Target="https://www.cdc.gov/nchs/data/series/sr_21/sr21_008acc.pdf%20table%201" TargetMode="External"/><Relationship Id="rId14" Type="http://schemas.openxmlformats.org/officeDocument/2006/relationships/hyperlink" Target="https://www.cdc.gov/nchs/data-visualization/mortality-trends/index.htm" TargetMode="External"/><Relationship Id="rId22" Type="http://schemas.openxmlformats.org/officeDocument/2006/relationships/hyperlink" Target="https://stacks.cdc.gov/view/cdc/174638" TargetMode="External"/><Relationship Id="rId27" Type="http://schemas.openxmlformats.org/officeDocument/2006/relationships/hyperlink" Target="https://www.ssa.gov/OACT/babynames/numberUSbirth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7"/>
  <sheetViews>
    <sheetView tabSelected="1" topLeftCell="J1" workbookViewId="0">
      <pane ySplit="1" topLeftCell="A138" activePane="bottomLeft" state="frozen"/>
      <selection pane="bottomLeft" activeCell="Q147" sqref="Q147"/>
    </sheetView>
  </sheetViews>
  <sheetFormatPr defaultRowHeight="14.5" x14ac:dyDescent="0.35"/>
  <sheetData>
    <row r="1" spans="1:30" x14ac:dyDescent="0.35">
      <c r="B1" s="1" t="s">
        <v>104</v>
      </c>
      <c r="C1" s="1" t="s">
        <v>46</v>
      </c>
      <c r="D1" s="1" t="s">
        <v>69</v>
      </c>
      <c r="E1" s="1" t="s">
        <v>71</v>
      </c>
      <c r="F1" s="1" t="s">
        <v>73</v>
      </c>
      <c r="G1" s="1" t="s">
        <v>75</v>
      </c>
      <c r="H1" s="1" t="s">
        <v>77</v>
      </c>
      <c r="I1" s="1" t="s">
        <v>80</v>
      </c>
      <c r="J1" s="1" t="s">
        <v>83</v>
      </c>
      <c r="K1" s="1" t="s">
        <v>86</v>
      </c>
      <c r="L1" s="1" t="s">
        <v>87</v>
      </c>
      <c r="M1" s="1" t="s">
        <v>93</v>
      </c>
      <c r="N1" s="1" t="s">
        <v>94</v>
      </c>
      <c r="O1" s="1" t="s">
        <v>123</v>
      </c>
      <c r="P1" s="1" t="s">
        <v>132</v>
      </c>
      <c r="Q1" s="1" t="s">
        <v>129</v>
      </c>
      <c r="R1" s="6" t="s">
        <v>138</v>
      </c>
      <c r="S1" s="6" t="s">
        <v>139</v>
      </c>
      <c r="T1" s="6" t="s">
        <v>140</v>
      </c>
      <c r="U1" s="1" t="s">
        <v>39</v>
      </c>
      <c r="V1" s="1" t="s">
        <v>38</v>
      </c>
      <c r="W1" s="1" t="s">
        <v>35</v>
      </c>
      <c r="X1" s="1" t="s">
        <v>36</v>
      </c>
      <c r="Y1" s="1" t="s">
        <v>42</v>
      </c>
      <c r="Z1" s="1" t="s">
        <v>43</v>
      </c>
      <c r="AA1" s="1" t="s">
        <v>100</v>
      </c>
      <c r="AB1" s="2" t="s">
        <v>33</v>
      </c>
      <c r="AC1" s="2" t="s">
        <v>30</v>
      </c>
      <c r="AD1" s="2" t="s">
        <v>31</v>
      </c>
    </row>
    <row r="2" spans="1:30" x14ac:dyDescent="0.35">
      <c r="A2" s="1">
        <v>0</v>
      </c>
      <c r="B2">
        <v>1880</v>
      </c>
      <c r="F2">
        <v>5544</v>
      </c>
      <c r="I2">
        <v>149.27000000000001</v>
      </c>
      <c r="J2">
        <v>5891</v>
      </c>
      <c r="P2">
        <v>201484</v>
      </c>
      <c r="Q2">
        <f>(P2/T2)*100</f>
        <v>93.278334097211612</v>
      </c>
      <c r="R2">
        <v>118399</v>
      </c>
      <c r="S2">
        <v>97604</v>
      </c>
      <c r="T2">
        <v>216003</v>
      </c>
      <c r="U2">
        <v>8.1546000000000003</v>
      </c>
      <c r="V2">
        <v>7.2384000000000004</v>
      </c>
      <c r="W2" t="s">
        <v>5</v>
      </c>
      <c r="X2" t="s">
        <v>6</v>
      </c>
      <c r="Y2">
        <v>7065</v>
      </c>
      <c r="Z2">
        <v>9655</v>
      </c>
      <c r="AA2">
        <v>0</v>
      </c>
    </row>
    <row r="3" spans="1:30" x14ac:dyDescent="0.35">
      <c r="A3" s="1">
        <v>1</v>
      </c>
      <c r="B3">
        <v>1881</v>
      </c>
      <c r="P3">
        <v>192688</v>
      </c>
      <c r="Q3">
        <f>(P3/T3)*100</f>
        <v>93.027118104001815</v>
      </c>
      <c r="R3">
        <v>108276</v>
      </c>
      <c r="S3">
        <v>98855</v>
      </c>
      <c r="T3">
        <v>207131</v>
      </c>
      <c r="U3">
        <v>8.0977999999999994</v>
      </c>
      <c r="V3">
        <v>6.9991000000000003</v>
      </c>
      <c r="W3" t="s">
        <v>5</v>
      </c>
      <c r="X3" t="s">
        <v>6</v>
      </c>
      <c r="Y3">
        <v>6919</v>
      </c>
      <c r="Z3">
        <v>8768</v>
      </c>
      <c r="AA3">
        <v>0</v>
      </c>
    </row>
    <row r="4" spans="1:30" x14ac:dyDescent="0.35">
      <c r="A4" s="1">
        <v>2</v>
      </c>
      <c r="B4">
        <v>1882</v>
      </c>
      <c r="P4">
        <v>221533</v>
      </c>
      <c r="Q4">
        <f>(P4/T4)*100</f>
        <v>93.188768535072043</v>
      </c>
      <c r="R4">
        <v>122031</v>
      </c>
      <c r="S4">
        <v>115694</v>
      </c>
      <c r="T4">
        <v>237725</v>
      </c>
      <c r="U4">
        <v>7.8315999999999999</v>
      </c>
      <c r="V4">
        <v>7.0427</v>
      </c>
      <c r="W4" t="s">
        <v>5</v>
      </c>
      <c r="X4" t="s">
        <v>6</v>
      </c>
      <c r="Y4">
        <v>8148</v>
      </c>
      <c r="Z4">
        <v>9557</v>
      </c>
      <c r="AA4">
        <v>0</v>
      </c>
    </row>
    <row r="5" spans="1:30" x14ac:dyDescent="0.35">
      <c r="A5" s="1">
        <v>3</v>
      </c>
      <c r="B5">
        <v>1883</v>
      </c>
      <c r="P5">
        <v>216945</v>
      </c>
      <c r="Q5">
        <f>(P5/T5)*100</f>
        <v>93.295632915475096</v>
      </c>
      <c r="R5">
        <v>112475</v>
      </c>
      <c r="S5">
        <v>120060</v>
      </c>
      <c r="T5">
        <v>232535</v>
      </c>
      <c r="U5">
        <v>7.9074999999999998</v>
      </c>
      <c r="V5">
        <v>6.6733000000000002</v>
      </c>
      <c r="W5" t="s">
        <v>5</v>
      </c>
      <c r="X5" t="s">
        <v>6</v>
      </c>
      <c r="Y5">
        <v>8012</v>
      </c>
      <c r="Z5">
        <v>8894</v>
      </c>
      <c r="AA5">
        <v>0</v>
      </c>
    </row>
    <row r="6" spans="1:30" x14ac:dyDescent="0.35">
      <c r="A6" s="1">
        <v>4</v>
      </c>
      <c r="B6">
        <v>1884</v>
      </c>
      <c r="P6">
        <v>243460</v>
      </c>
      <c r="Q6">
        <f>(P6/T6)*100</f>
        <v>93.522637349129155</v>
      </c>
      <c r="R6">
        <v>122737</v>
      </c>
      <c r="S6">
        <v>137585</v>
      </c>
      <c r="T6">
        <v>260322</v>
      </c>
      <c r="U6">
        <v>7.6487999999999996</v>
      </c>
      <c r="V6">
        <v>6.6990999999999996</v>
      </c>
      <c r="W6" t="s">
        <v>5</v>
      </c>
      <c r="X6" t="s">
        <v>6</v>
      </c>
      <c r="Y6">
        <v>9217</v>
      </c>
      <c r="Z6">
        <v>9388</v>
      </c>
      <c r="AA6">
        <v>0</v>
      </c>
    </row>
    <row r="7" spans="1:30" x14ac:dyDescent="0.35">
      <c r="A7" s="1">
        <v>5</v>
      </c>
      <c r="B7">
        <v>1885</v>
      </c>
      <c r="P7">
        <v>240854</v>
      </c>
      <c r="Q7">
        <f>(P7/T7)*100</f>
        <v>93.393358460130599</v>
      </c>
      <c r="R7">
        <v>115945</v>
      </c>
      <c r="S7">
        <v>141947</v>
      </c>
      <c r="T7">
        <v>257892</v>
      </c>
      <c r="U7">
        <v>7.5518999999999998</v>
      </c>
      <c r="V7">
        <v>6.4306000000000001</v>
      </c>
      <c r="W7" t="s">
        <v>5</v>
      </c>
      <c r="X7" t="s">
        <v>6</v>
      </c>
      <c r="Y7">
        <v>9128</v>
      </c>
      <c r="Z7">
        <v>8756</v>
      </c>
      <c r="AA7">
        <v>0</v>
      </c>
    </row>
    <row r="8" spans="1:30" x14ac:dyDescent="0.35">
      <c r="A8" s="1">
        <v>6</v>
      </c>
      <c r="B8">
        <v>1886</v>
      </c>
      <c r="P8">
        <v>255316</v>
      </c>
      <c r="Q8">
        <f>(P8/T8)*100</f>
        <v>93.599829895811183</v>
      </c>
      <c r="R8">
        <v>119040</v>
      </c>
      <c r="S8">
        <v>153734</v>
      </c>
      <c r="T8">
        <v>272774</v>
      </c>
      <c r="U8">
        <v>7.5823</v>
      </c>
      <c r="V8">
        <v>6.4325000000000001</v>
      </c>
      <c r="W8" t="s">
        <v>5</v>
      </c>
      <c r="X8" t="s">
        <v>6</v>
      </c>
      <c r="Y8">
        <v>9889</v>
      </c>
      <c r="Z8">
        <v>9026</v>
      </c>
      <c r="AA8">
        <v>0</v>
      </c>
    </row>
    <row r="9" spans="1:30" x14ac:dyDescent="0.35">
      <c r="A9" s="1">
        <v>7</v>
      </c>
      <c r="B9">
        <v>1887</v>
      </c>
      <c r="P9">
        <v>247391</v>
      </c>
      <c r="Q9">
        <f>(P9/T9)*100</f>
        <v>93.449601861505215</v>
      </c>
      <c r="R9">
        <v>109310</v>
      </c>
      <c r="S9">
        <v>155422</v>
      </c>
      <c r="T9">
        <v>264732</v>
      </c>
      <c r="U9">
        <v>7.4192</v>
      </c>
      <c r="V9">
        <v>6.3620000000000001</v>
      </c>
      <c r="W9" t="s">
        <v>5</v>
      </c>
      <c r="X9" t="s">
        <v>6</v>
      </c>
      <c r="Y9">
        <v>9888</v>
      </c>
      <c r="Z9">
        <v>8110</v>
      </c>
      <c r="AA9">
        <v>0</v>
      </c>
    </row>
    <row r="10" spans="1:30" x14ac:dyDescent="0.35">
      <c r="A10" s="1">
        <v>8</v>
      </c>
      <c r="B10">
        <v>1888</v>
      </c>
      <c r="P10">
        <v>299474</v>
      </c>
      <c r="Q10">
        <f>(P10/T10)*100</f>
        <v>93.775520428868461</v>
      </c>
      <c r="R10">
        <v>129907</v>
      </c>
      <c r="S10">
        <v>189445</v>
      </c>
      <c r="T10">
        <v>319352</v>
      </c>
      <c r="U10">
        <v>7.1181999999999999</v>
      </c>
      <c r="V10">
        <v>6.2043999999999997</v>
      </c>
      <c r="W10" t="s">
        <v>5</v>
      </c>
      <c r="X10" t="s">
        <v>6</v>
      </c>
      <c r="Y10">
        <v>11754</v>
      </c>
      <c r="Z10">
        <v>9247</v>
      </c>
      <c r="AA10">
        <v>0</v>
      </c>
    </row>
    <row r="11" spans="1:30" x14ac:dyDescent="0.35">
      <c r="A11" s="1">
        <v>9</v>
      </c>
      <c r="B11">
        <v>1889</v>
      </c>
      <c r="P11">
        <v>288946</v>
      </c>
      <c r="Q11">
        <f>(P11/T11)*100</f>
        <v>93.73755068937551</v>
      </c>
      <c r="R11">
        <v>119032</v>
      </c>
      <c r="S11">
        <v>189218</v>
      </c>
      <c r="T11">
        <v>308250</v>
      </c>
      <c r="U11">
        <v>7.1813000000000002</v>
      </c>
      <c r="V11">
        <v>6.1558999999999999</v>
      </c>
      <c r="W11" t="s">
        <v>5</v>
      </c>
      <c r="X11" t="s">
        <v>6</v>
      </c>
      <c r="Y11">
        <v>11648</v>
      </c>
      <c r="Z11">
        <v>8548</v>
      </c>
      <c r="AA11">
        <v>0</v>
      </c>
    </row>
    <row r="12" spans="1:30" x14ac:dyDescent="0.35">
      <c r="A12" s="1">
        <v>10</v>
      </c>
      <c r="B12">
        <v>1890</v>
      </c>
      <c r="F12">
        <v>5741</v>
      </c>
      <c r="I12">
        <v>97.6</v>
      </c>
      <c r="J12">
        <v>8792</v>
      </c>
      <c r="P12">
        <v>301401</v>
      </c>
      <c r="Q12">
        <f>(P12/T12)*100</f>
        <v>93.78833281989526</v>
      </c>
      <c r="R12">
        <v>119700</v>
      </c>
      <c r="S12">
        <v>201663</v>
      </c>
      <c r="T12">
        <v>321363</v>
      </c>
      <c r="U12">
        <v>7.1028000000000002</v>
      </c>
      <c r="V12">
        <v>5.9892000000000003</v>
      </c>
      <c r="W12" t="s">
        <v>5</v>
      </c>
      <c r="X12" t="s">
        <v>6</v>
      </c>
      <c r="Y12">
        <v>12078</v>
      </c>
      <c r="Z12">
        <v>8502</v>
      </c>
      <c r="AA12">
        <v>0</v>
      </c>
    </row>
    <row r="13" spans="1:30" x14ac:dyDescent="0.35">
      <c r="A13" s="1">
        <v>11</v>
      </c>
      <c r="B13">
        <v>1891</v>
      </c>
      <c r="P13">
        <v>286673</v>
      </c>
      <c r="Q13">
        <f>(P13/T13)*100</f>
        <v>93.735449527845347</v>
      </c>
      <c r="R13">
        <v>109265</v>
      </c>
      <c r="S13">
        <v>196567</v>
      </c>
      <c r="T13">
        <v>305832</v>
      </c>
      <c r="U13">
        <v>7.0288000000000004</v>
      </c>
      <c r="V13">
        <v>5.9542000000000002</v>
      </c>
      <c r="W13" t="s">
        <v>5</v>
      </c>
      <c r="X13" t="s">
        <v>6</v>
      </c>
      <c r="Y13">
        <v>11704</v>
      </c>
      <c r="Z13">
        <v>7680</v>
      </c>
      <c r="AA13">
        <v>0</v>
      </c>
    </row>
    <row r="14" spans="1:30" x14ac:dyDescent="0.35">
      <c r="A14" s="1">
        <v>12</v>
      </c>
      <c r="B14">
        <v>1892</v>
      </c>
      <c r="P14">
        <v>334374</v>
      </c>
      <c r="Q14">
        <f>(P14/T14)*100</f>
        <v>93.82907973566428</v>
      </c>
      <c r="R14">
        <v>131452</v>
      </c>
      <c r="S14">
        <v>224913</v>
      </c>
      <c r="T14">
        <v>356365</v>
      </c>
      <c r="U14">
        <v>6.8762999999999996</v>
      </c>
      <c r="V14">
        <v>5.8564999999999996</v>
      </c>
      <c r="W14" t="s">
        <v>5</v>
      </c>
      <c r="X14" t="s">
        <v>6</v>
      </c>
      <c r="Y14">
        <v>13172</v>
      </c>
      <c r="Z14">
        <v>9039</v>
      </c>
      <c r="AA14">
        <v>0</v>
      </c>
    </row>
    <row r="15" spans="1:30" x14ac:dyDescent="0.35">
      <c r="A15" s="1">
        <v>13</v>
      </c>
      <c r="B15">
        <v>1893</v>
      </c>
      <c r="P15">
        <v>325223</v>
      </c>
      <c r="Q15">
        <f>(P15/T15)*100</f>
        <v>93.920981422172673</v>
      </c>
      <c r="R15">
        <v>121041</v>
      </c>
      <c r="S15">
        <v>225232</v>
      </c>
      <c r="T15">
        <v>346273</v>
      </c>
      <c r="U15">
        <v>6.6497999999999999</v>
      </c>
      <c r="V15">
        <v>5.6759000000000004</v>
      </c>
      <c r="W15" t="s">
        <v>5</v>
      </c>
      <c r="X15" t="s">
        <v>6</v>
      </c>
      <c r="Y15">
        <v>12784</v>
      </c>
      <c r="Z15">
        <v>8049</v>
      </c>
      <c r="AA15">
        <v>0</v>
      </c>
    </row>
    <row r="16" spans="1:30" x14ac:dyDescent="0.35">
      <c r="A16" s="1">
        <v>14</v>
      </c>
      <c r="B16">
        <v>1894</v>
      </c>
      <c r="P16">
        <v>338690</v>
      </c>
      <c r="Q16">
        <f>(P16/T16)*100</f>
        <v>93.855302828766511</v>
      </c>
      <c r="R16">
        <v>124892</v>
      </c>
      <c r="S16">
        <v>235972</v>
      </c>
      <c r="T16">
        <v>360864</v>
      </c>
      <c r="U16">
        <v>6.5952999999999999</v>
      </c>
      <c r="V16">
        <v>5.5731000000000002</v>
      </c>
      <c r="W16" t="s">
        <v>5</v>
      </c>
      <c r="X16" t="s">
        <v>6</v>
      </c>
      <c r="Y16">
        <v>13151</v>
      </c>
      <c r="Z16">
        <v>8237</v>
      </c>
      <c r="AA16">
        <v>0</v>
      </c>
    </row>
    <row r="17" spans="1:30" x14ac:dyDescent="0.35">
      <c r="A17" s="1">
        <v>15</v>
      </c>
      <c r="B17">
        <v>1895</v>
      </c>
      <c r="P17">
        <v>351020</v>
      </c>
      <c r="Q17">
        <f>(P17/T17)*100</f>
        <v>93.919399806285554</v>
      </c>
      <c r="R17">
        <v>126641</v>
      </c>
      <c r="S17">
        <v>247105</v>
      </c>
      <c r="T17">
        <v>373746</v>
      </c>
      <c r="U17">
        <v>6.5697000000000001</v>
      </c>
      <c r="V17">
        <v>5.4417999999999997</v>
      </c>
      <c r="W17" t="s">
        <v>5</v>
      </c>
      <c r="X17" t="s">
        <v>6</v>
      </c>
      <c r="Y17">
        <v>13447</v>
      </c>
      <c r="Z17">
        <v>8320</v>
      </c>
      <c r="AA17">
        <v>0</v>
      </c>
    </row>
    <row r="18" spans="1:30" x14ac:dyDescent="0.35">
      <c r="A18" s="1">
        <v>16</v>
      </c>
      <c r="B18">
        <v>1896</v>
      </c>
      <c r="P18">
        <v>357483</v>
      </c>
      <c r="Q18">
        <f>(P18/T18)*100</f>
        <v>93.812293012685601</v>
      </c>
      <c r="R18">
        <v>129069</v>
      </c>
      <c r="S18">
        <v>251993</v>
      </c>
      <c r="T18">
        <v>381062</v>
      </c>
      <c r="U18">
        <v>6.3051000000000004</v>
      </c>
      <c r="V18">
        <v>5.4806999999999997</v>
      </c>
      <c r="W18" t="s">
        <v>5</v>
      </c>
      <c r="X18" t="s">
        <v>6</v>
      </c>
      <c r="Y18">
        <v>13811</v>
      </c>
      <c r="Z18">
        <v>8138</v>
      </c>
      <c r="AA18">
        <v>0</v>
      </c>
    </row>
    <row r="19" spans="1:30" x14ac:dyDescent="0.35">
      <c r="A19" s="1">
        <v>17</v>
      </c>
      <c r="B19">
        <v>1897</v>
      </c>
      <c r="P19">
        <v>346957</v>
      </c>
      <c r="Q19">
        <f>(P19/T19)*100</f>
        <v>93.717198291812636</v>
      </c>
      <c r="R19">
        <v>121942</v>
      </c>
      <c r="S19">
        <v>248275</v>
      </c>
      <c r="T19">
        <v>370217</v>
      </c>
      <c r="U19">
        <v>6.1914999999999996</v>
      </c>
      <c r="V19">
        <v>5.4024999999999999</v>
      </c>
      <c r="W19" t="s">
        <v>5</v>
      </c>
      <c r="X19" t="s">
        <v>6</v>
      </c>
      <c r="Y19">
        <v>13413</v>
      </c>
      <c r="Z19">
        <v>7550</v>
      </c>
      <c r="AA19">
        <v>0</v>
      </c>
    </row>
    <row r="20" spans="1:30" x14ac:dyDescent="0.35">
      <c r="A20" s="1">
        <v>18</v>
      </c>
      <c r="B20">
        <v>1898</v>
      </c>
      <c r="P20">
        <v>381454</v>
      </c>
      <c r="Q20">
        <f>(P20/T20)*100</f>
        <v>93.897756028396728</v>
      </c>
      <c r="R20">
        <v>132099</v>
      </c>
      <c r="S20">
        <v>274145</v>
      </c>
      <c r="T20">
        <v>406244</v>
      </c>
      <c r="U20">
        <v>6.1764000000000001</v>
      </c>
      <c r="V20">
        <v>5.2549000000000001</v>
      </c>
      <c r="W20" t="s">
        <v>5</v>
      </c>
      <c r="X20" t="s">
        <v>6</v>
      </c>
      <c r="Y20">
        <v>14406</v>
      </c>
      <c r="Z20">
        <v>8159</v>
      </c>
      <c r="AA20">
        <v>0</v>
      </c>
    </row>
    <row r="21" spans="1:30" x14ac:dyDescent="0.35">
      <c r="A21" s="1">
        <v>19</v>
      </c>
      <c r="B21">
        <v>1899</v>
      </c>
      <c r="P21">
        <v>339233</v>
      </c>
      <c r="Q21">
        <f>(P21/T21)*100</f>
        <v>93.534556443385668</v>
      </c>
      <c r="R21">
        <v>115194</v>
      </c>
      <c r="S21">
        <v>247488</v>
      </c>
      <c r="T21">
        <v>362682</v>
      </c>
      <c r="U21">
        <v>6.0679999999999996</v>
      </c>
      <c r="V21">
        <v>5.3223000000000003</v>
      </c>
      <c r="W21" t="s">
        <v>5</v>
      </c>
      <c r="X21" t="s">
        <v>6</v>
      </c>
      <c r="Y21">
        <v>13172</v>
      </c>
      <c r="Z21">
        <v>6990</v>
      </c>
      <c r="AA21">
        <v>0</v>
      </c>
    </row>
    <row r="22" spans="1:30" x14ac:dyDescent="0.35">
      <c r="A22" s="1">
        <v>20</v>
      </c>
      <c r="B22">
        <v>1900</v>
      </c>
      <c r="F22">
        <v>1983.8</v>
      </c>
      <c r="J22">
        <v>71117</v>
      </c>
      <c r="K22">
        <v>39608</v>
      </c>
      <c r="L22">
        <v>31509</v>
      </c>
      <c r="P22">
        <v>450258</v>
      </c>
      <c r="Q22">
        <f>(P22/T22)*100</f>
        <v>93.830921871125184</v>
      </c>
      <c r="R22">
        <v>162123</v>
      </c>
      <c r="S22">
        <v>317738</v>
      </c>
      <c r="T22">
        <v>479861</v>
      </c>
      <c r="U22">
        <v>6.0625999999999998</v>
      </c>
      <c r="V22">
        <v>5.2575000000000003</v>
      </c>
      <c r="W22" t="s">
        <v>5</v>
      </c>
      <c r="X22" t="s">
        <v>6</v>
      </c>
      <c r="Y22">
        <v>16705</v>
      </c>
      <c r="Z22">
        <v>9829</v>
      </c>
      <c r="AA22">
        <v>0</v>
      </c>
      <c r="AB22">
        <v>47.3</v>
      </c>
      <c r="AC22">
        <v>48.3</v>
      </c>
      <c r="AD22">
        <v>46.3</v>
      </c>
    </row>
    <row r="23" spans="1:30" x14ac:dyDescent="0.35">
      <c r="A23" s="1">
        <v>21</v>
      </c>
      <c r="B23">
        <v>1901</v>
      </c>
      <c r="F23">
        <v>1695</v>
      </c>
      <c r="J23">
        <v>62759</v>
      </c>
      <c r="K23">
        <v>35050</v>
      </c>
      <c r="L23">
        <v>27709</v>
      </c>
      <c r="P23">
        <v>345812</v>
      </c>
      <c r="Q23">
        <f>(P23/T23)*100</f>
        <v>93.507940327888363</v>
      </c>
      <c r="R23">
        <v>115592</v>
      </c>
      <c r="S23">
        <v>254229</v>
      </c>
      <c r="T23">
        <v>369821</v>
      </c>
      <c r="U23">
        <v>5.9692999999999996</v>
      </c>
      <c r="V23">
        <v>5.1669999999999998</v>
      </c>
      <c r="W23" t="s">
        <v>5</v>
      </c>
      <c r="X23" t="s">
        <v>6</v>
      </c>
      <c r="Y23">
        <v>13136</v>
      </c>
      <c r="Z23">
        <v>6900</v>
      </c>
      <c r="AA23">
        <v>0</v>
      </c>
      <c r="AB23">
        <v>49.1</v>
      </c>
      <c r="AC23">
        <v>50.6</v>
      </c>
      <c r="AD23">
        <v>47.6</v>
      </c>
    </row>
    <row r="24" spans="1:30" x14ac:dyDescent="0.35">
      <c r="A24" s="1">
        <v>22</v>
      </c>
      <c r="B24">
        <v>1902</v>
      </c>
      <c r="F24">
        <v>1655.7</v>
      </c>
      <c r="J24">
        <v>62634</v>
      </c>
      <c r="K24">
        <v>34927</v>
      </c>
      <c r="L24">
        <v>27707</v>
      </c>
      <c r="P24">
        <v>386733</v>
      </c>
      <c r="Q24">
        <f>(P24/T24)*100</f>
        <v>93.621816597269287</v>
      </c>
      <c r="R24">
        <v>132750</v>
      </c>
      <c r="S24">
        <v>280330</v>
      </c>
      <c r="T24">
        <v>413080</v>
      </c>
      <c r="U24">
        <v>5.9562999999999997</v>
      </c>
      <c r="V24">
        <v>5.1675000000000004</v>
      </c>
      <c r="W24" t="s">
        <v>5</v>
      </c>
      <c r="X24" t="s">
        <v>6</v>
      </c>
      <c r="Y24">
        <v>14486</v>
      </c>
      <c r="Z24">
        <v>7907</v>
      </c>
      <c r="AA24">
        <v>0</v>
      </c>
      <c r="AB24">
        <v>51.5</v>
      </c>
      <c r="AC24">
        <v>53.4</v>
      </c>
      <c r="AD24">
        <v>49.8</v>
      </c>
    </row>
    <row r="25" spans="1:30" x14ac:dyDescent="0.35">
      <c r="A25" s="1">
        <v>23</v>
      </c>
      <c r="B25">
        <v>1903</v>
      </c>
      <c r="F25">
        <v>1542.1</v>
      </c>
      <c r="J25">
        <v>60715</v>
      </c>
      <c r="K25">
        <v>33918</v>
      </c>
      <c r="L25">
        <v>26833</v>
      </c>
      <c r="P25">
        <v>381200</v>
      </c>
      <c r="Q25">
        <f>(P25/T25)*100</f>
        <v>93.542339441886952</v>
      </c>
      <c r="R25">
        <v>129321</v>
      </c>
      <c r="S25">
        <v>278195</v>
      </c>
      <c r="T25">
        <v>407516</v>
      </c>
      <c r="U25">
        <v>5.883</v>
      </c>
      <c r="V25">
        <v>5.1313000000000004</v>
      </c>
      <c r="W25" t="s">
        <v>5</v>
      </c>
      <c r="X25" t="s">
        <v>6</v>
      </c>
      <c r="Y25">
        <v>14275</v>
      </c>
      <c r="Z25">
        <v>7608</v>
      </c>
      <c r="AA25">
        <v>0</v>
      </c>
      <c r="AB25">
        <v>50.5</v>
      </c>
      <c r="AC25">
        <v>52</v>
      </c>
      <c r="AD25">
        <v>49.1</v>
      </c>
    </row>
    <row r="26" spans="1:30" x14ac:dyDescent="0.35">
      <c r="A26" s="1">
        <v>24</v>
      </c>
      <c r="B26">
        <v>1904</v>
      </c>
      <c r="F26">
        <v>1591.5</v>
      </c>
      <c r="J26">
        <v>64805</v>
      </c>
      <c r="K26">
        <v>36186</v>
      </c>
      <c r="L26">
        <v>28619</v>
      </c>
      <c r="P26">
        <v>403484</v>
      </c>
      <c r="Q26">
        <f>(P26/T26)*100</f>
        <v>93.629463239406221</v>
      </c>
      <c r="R26">
        <v>138503</v>
      </c>
      <c r="S26">
        <v>292434</v>
      </c>
      <c r="T26">
        <v>430937</v>
      </c>
      <c r="U26">
        <v>5.8540000000000001</v>
      </c>
      <c r="V26">
        <v>5.1159999999999997</v>
      </c>
      <c r="W26" t="s">
        <v>5</v>
      </c>
      <c r="X26" t="s">
        <v>6</v>
      </c>
      <c r="Y26">
        <v>14961</v>
      </c>
      <c r="Z26">
        <v>8108</v>
      </c>
      <c r="AA26">
        <v>0</v>
      </c>
      <c r="AB26">
        <v>47.6</v>
      </c>
      <c r="AC26">
        <v>49.1</v>
      </c>
      <c r="AD26">
        <v>46.2</v>
      </c>
    </row>
    <row r="27" spans="1:30" x14ac:dyDescent="0.35">
      <c r="A27" s="1">
        <v>25</v>
      </c>
      <c r="B27">
        <v>1905</v>
      </c>
      <c r="F27">
        <v>1498.9</v>
      </c>
      <c r="J27">
        <v>66894</v>
      </c>
      <c r="K27">
        <v>37489</v>
      </c>
      <c r="L27">
        <v>29405</v>
      </c>
      <c r="P27">
        <v>423923</v>
      </c>
      <c r="Q27">
        <f>(P27/T27)*100</f>
        <v>93.561615113828225</v>
      </c>
      <c r="R27">
        <v>143232</v>
      </c>
      <c r="S27">
        <v>309863</v>
      </c>
      <c r="T27">
        <v>453095</v>
      </c>
      <c r="U27">
        <v>5.6265000000000001</v>
      </c>
      <c r="V27">
        <v>5.1852</v>
      </c>
      <c r="W27" t="s">
        <v>5</v>
      </c>
      <c r="X27" t="s">
        <v>6</v>
      </c>
      <c r="Y27">
        <v>16067</v>
      </c>
      <c r="Z27">
        <v>8059</v>
      </c>
      <c r="AA27">
        <v>0</v>
      </c>
      <c r="AB27">
        <v>48.7</v>
      </c>
      <c r="AC27">
        <v>50.2</v>
      </c>
      <c r="AD27">
        <v>47.3</v>
      </c>
    </row>
    <row r="28" spans="1:30" x14ac:dyDescent="0.35">
      <c r="A28" s="1">
        <v>26</v>
      </c>
      <c r="B28">
        <v>1906</v>
      </c>
      <c r="F28">
        <v>1580</v>
      </c>
      <c r="J28">
        <v>108721</v>
      </c>
      <c r="K28">
        <v>60820</v>
      </c>
      <c r="L28">
        <v>47901</v>
      </c>
      <c r="P28">
        <v>428451</v>
      </c>
      <c r="Q28">
        <f>(P28/T28)*100</f>
        <v>93.650696504254654</v>
      </c>
      <c r="R28">
        <v>144066</v>
      </c>
      <c r="S28">
        <v>313433</v>
      </c>
      <c r="T28">
        <v>457499</v>
      </c>
      <c r="U28">
        <v>5.7363</v>
      </c>
      <c r="V28">
        <v>5.2228000000000003</v>
      </c>
      <c r="W28" t="s">
        <v>5</v>
      </c>
      <c r="X28" t="s">
        <v>6</v>
      </c>
      <c r="Y28">
        <v>16370</v>
      </c>
      <c r="Z28">
        <v>8264</v>
      </c>
      <c r="AA28">
        <v>0</v>
      </c>
      <c r="AB28">
        <v>48.7</v>
      </c>
      <c r="AC28">
        <v>50.8</v>
      </c>
      <c r="AD28">
        <v>46.9</v>
      </c>
    </row>
    <row r="29" spans="1:30" x14ac:dyDescent="0.35">
      <c r="A29" s="1">
        <v>27</v>
      </c>
      <c r="B29">
        <v>1907</v>
      </c>
      <c r="F29">
        <v>1468.3</v>
      </c>
      <c r="J29">
        <v>105907</v>
      </c>
      <c r="K29">
        <v>59149</v>
      </c>
      <c r="L29">
        <v>46758</v>
      </c>
      <c r="P29">
        <v>465390</v>
      </c>
      <c r="Q29">
        <f>(P29/T29)*100</f>
        <v>93.825602399922587</v>
      </c>
      <c r="R29">
        <v>158584</v>
      </c>
      <c r="S29">
        <v>337432</v>
      </c>
      <c r="T29">
        <v>496016</v>
      </c>
      <c r="U29">
        <v>5.6645000000000003</v>
      </c>
      <c r="V29">
        <v>5.2099000000000002</v>
      </c>
      <c r="W29" t="s">
        <v>5</v>
      </c>
      <c r="X29" t="s">
        <v>6</v>
      </c>
      <c r="Y29">
        <v>17580</v>
      </c>
      <c r="Z29">
        <v>8983</v>
      </c>
      <c r="AA29">
        <v>0</v>
      </c>
      <c r="AB29">
        <v>47.6</v>
      </c>
      <c r="AC29">
        <v>49.9</v>
      </c>
      <c r="AD29">
        <v>45.6</v>
      </c>
    </row>
    <row r="30" spans="1:30" x14ac:dyDescent="0.35">
      <c r="A30" s="1">
        <v>28</v>
      </c>
      <c r="B30">
        <v>1908</v>
      </c>
      <c r="F30">
        <v>1396.8</v>
      </c>
      <c r="J30">
        <v>113165</v>
      </c>
      <c r="K30">
        <v>63231</v>
      </c>
      <c r="L30">
        <v>49934</v>
      </c>
      <c r="P30">
        <v>488648</v>
      </c>
      <c r="Q30">
        <f>(P30/T30)*100</f>
        <v>93.809308977817025</v>
      </c>
      <c r="R30">
        <v>166365</v>
      </c>
      <c r="S30">
        <v>354530</v>
      </c>
      <c r="T30">
        <v>520895</v>
      </c>
      <c r="U30">
        <v>5.6158999999999999</v>
      </c>
      <c r="V30">
        <v>5.2647000000000004</v>
      </c>
      <c r="W30" t="s">
        <v>5</v>
      </c>
      <c r="X30" t="s">
        <v>6</v>
      </c>
      <c r="Y30">
        <v>18665</v>
      </c>
      <c r="Z30">
        <v>9343</v>
      </c>
      <c r="AA30">
        <v>0</v>
      </c>
      <c r="AB30">
        <v>51.1</v>
      </c>
      <c r="AC30">
        <v>52.8</v>
      </c>
      <c r="AD30">
        <v>49.5</v>
      </c>
    </row>
    <row r="31" spans="1:30" x14ac:dyDescent="0.35">
      <c r="A31" s="1">
        <v>29</v>
      </c>
      <c r="B31">
        <v>1909</v>
      </c>
      <c r="C31">
        <v>2718000</v>
      </c>
      <c r="D31">
        <v>126.8</v>
      </c>
      <c r="E31">
        <v>30</v>
      </c>
      <c r="F31">
        <v>1348.9</v>
      </c>
      <c r="G31">
        <v>10.614054451802801</v>
      </c>
      <c r="H31">
        <v>45.808314937454007</v>
      </c>
      <c r="J31">
        <v>121728</v>
      </c>
      <c r="K31">
        <v>68072</v>
      </c>
      <c r="L31">
        <v>53656</v>
      </c>
      <c r="P31">
        <v>511224</v>
      </c>
      <c r="Q31">
        <f>(P31/T31)*100</f>
        <v>93.810142470217784</v>
      </c>
      <c r="R31">
        <v>176863</v>
      </c>
      <c r="S31">
        <v>368093</v>
      </c>
      <c r="T31">
        <v>544956</v>
      </c>
      <c r="U31">
        <v>5.4222999999999999</v>
      </c>
      <c r="V31">
        <v>5.2321</v>
      </c>
      <c r="W31" t="s">
        <v>5</v>
      </c>
      <c r="X31" t="s">
        <v>6</v>
      </c>
      <c r="Y31">
        <v>19259</v>
      </c>
      <c r="Z31">
        <v>9590</v>
      </c>
      <c r="AA31">
        <v>0</v>
      </c>
      <c r="AB31">
        <v>52.1</v>
      </c>
      <c r="AC31">
        <v>53.8</v>
      </c>
      <c r="AD31">
        <v>50.5</v>
      </c>
    </row>
    <row r="32" spans="1:30" x14ac:dyDescent="0.35">
      <c r="A32" s="1">
        <v>30</v>
      </c>
      <c r="B32">
        <v>1910</v>
      </c>
      <c r="C32">
        <v>2777000</v>
      </c>
      <c r="D32">
        <v>126.8</v>
      </c>
      <c r="E32">
        <v>30.1</v>
      </c>
      <c r="F32">
        <v>1397.3</v>
      </c>
      <c r="G32">
        <v>12.35073820669788</v>
      </c>
      <c r="H32">
        <v>51.889088944904572</v>
      </c>
      <c r="J32">
        <v>135020</v>
      </c>
      <c r="K32">
        <v>75561</v>
      </c>
      <c r="L32">
        <v>59459</v>
      </c>
      <c r="P32">
        <v>590711</v>
      </c>
      <c r="Q32">
        <f>(P32/T32)*100</f>
        <v>94.055970779024335</v>
      </c>
      <c r="R32">
        <v>208516</v>
      </c>
      <c r="S32">
        <v>419526</v>
      </c>
      <c r="T32">
        <v>628042</v>
      </c>
      <c r="U32">
        <v>5.4912000000000001</v>
      </c>
      <c r="V32">
        <v>5.4461000000000004</v>
      </c>
      <c r="W32" t="s">
        <v>5</v>
      </c>
      <c r="X32" t="s">
        <v>6</v>
      </c>
      <c r="Y32">
        <v>22848</v>
      </c>
      <c r="Z32">
        <v>11450</v>
      </c>
      <c r="AA32">
        <v>0</v>
      </c>
      <c r="AB32">
        <v>50</v>
      </c>
      <c r="AC32">
        <v>51.8</v>
      </c>
      <c r="AD32">
        <v>48.4</v>
      </c>
    </row>
    <row r="33" spans="1:30" x14ac:dyDescent="0.35">
      <c r="A33" s="1">
        <v>31</v>
      </c>
      <c r="B33">
        <v>1911</v>
      </c>
      <c r="C33">
        <v>2809000</v>
      </c>
      <c r="D33">
        <v>126.3</v>
      </c>
      <c r="E33">
        <v>29.9</v>
      </c>
      <c r="F33">
        <v>1176</v>
      </c>
      <c r="G33">
        <v>13.46956212175151</v>
      </c>
      <c r="H33">
        <v>57.933072267710934</v>
      </c>
      <c r="J33">
        <v>133636</v>
      </c>
      <c r="K33">
        <v>74740</v>
      </c>
      <c r="L33">
        <v>58896</v>
      </c>
      <c r="P33">
        <v>644279</v>
      </c>
      <c r="Q33">
        <f>(P33/T33)*100</f>
        <v>94.301337942925556</v>
      </c>
      <c r="R33">
        <v>241396</v>
      </c>
      <c r="S33">
        <v>441817</v>
      </c>
      <c r="T33">
        <v>683213</v>
      </c>
      <c r="U33">
        <v>5.5701000000000001</v>
      </c>
      <c r="V33">
        <v>5.5204000000000004</v>
      </c>
      <c r="W33" t="s">
        <v>5</v>
      </c>
      <c r="X33" t="s">
        <v>6</v>
      </c>
      <c r="Y33">
        <v>24390</v>
      </c>
      <c r="Z33">
        <v>13446</v>
      </c>
      <c r="AA33">
        <v>0</v>
      </c>
      <c r="AB33">
        <v>52.6</v>
      </c>
      <c r="AC33">
        <v>54.4</v>
      </c>
      <c r="AD33">
        <v>50.9</v>
      </c>
    </row>
    <row r="34" spans="1:30" x14ac:dyDescent="0.35">
      <c r="A34" s="1">
        <v>32</v>
      </c>
      <c r="B34">
        <v>1912</v>
      </c>
      <c r="C34">
        <v>2840000</v>
      </c>
      <c r="D34">
        <v>125.8</v>
      </c>
      <c r="E34">
        <v>29.8</v>
      </c>
      <c r="F34">
        <v>1094.0999999999999</v>
      </c>
      <c r="G34">
        <v>20.03204225352113</v>
      </c>
      <c r="H34">
        <v>89.996830985915494</v>
      </c>
      <c r="J34">
        <v>131461</v>
      </c>
      <c r="K34">
        <v>73929</v>
      </c>
      <c r="L34">
        <v>57532</v>
      </c>
      <c r="P34">
        <v>988061</v>
      </c>
      <c r="Q34">
        <f>(P34/T34)*100</f>
        <v>95.173333847057805</v>
      </c>
      <c r="R34">
        <v>451456</v>
      </c>
      <c r="S34">
        <v>586714</v>
      </c>
      <c r="T34">
        <v>1038170</v>
      </c>
      <c r="U34">
        <v>5.4462000000000002</v>
      </c>
      <c r="V34">
        <v>5.5058999999999996</v>
      </c>
      <c r="W34" t="s">
        <v>5</v>
      </c>
      <c r="X34" t="s">
        <v>6</v>
      </c>
      <c r="Y34">
        <v>32304</v>
      </c>
      <c r="Z34">
        <v>24587</v>
      </c>
      <c r="AA34">
        <v>0</v>
      </c>
      <c r="AB34">
        <v>53.5</v>
      </c>
      <c r="AC34">
        <v>55.9</v>
      </c>
      <c r="AD34">
        <v>51.5</v>
      </c>
    </row>
    <row r="35" spans="1:30" x14ac:dyDescent="0.35">
      <c r="A35" s="1">
        <v>33</v>
      </c>
      <c r="B35">
        <v>1913</v>
      </c>
      <c r="C35">
        <v>2869000</v>
      </c>
      <c r="D35">
        <v>124.7</v>
      </c>
      <c r="E35">
        <v>29.5</v>
      </c>
      <c r="F35">
        <v>1193.4000000000001</v>
      </c>
      <c r="G35">
        <v>22.994423143952599</v>
      </c>
      <c r="H35">
        <v>103.9330777274312</v>
      </c>
      <c r="J35">
        <v>144211</v>
      </c>
      <c r="K35">
        <v>81143</v>
      </c>
      <c r="L35">
        <v>63068</v>
      </c>
      <c r="P35">
        <v>1137112</v>
      </c>
      <c r="Q35">
        <f>(P35/T35)*100</f>
        <v>95.46241401253566</v>
      </c>
      <c r="R35">
        <v>536248</v>
      </c>
      <c r="S35">
        <v>654914</v>
      </c>
      <c r="T35">
        <v>1191162</v>
      </c>
      <c r="U35">
        <v>5.4692999999999996</v>
      </c>
      <c r="V35">
        <v>5.5949</v>
      </c>
      <c r="W35" t="s">
        <v>5</v>
      </c>
      <c r="X35" t="s">
        <v>6</v>
      </c>
      <c r="Y35">
        <v>36642</v>
      </c>
      <c r="Z35">
        <v>29329</v>
      </c>
      <c r="AA35">
        <v>0</v>
      </c>
      <c r="AB35">
        <v>52.5</v>
      </c>
      <c r="AC35">
        <v>55</v>
      </c>
      <c r="AD35">
        <v>50.3</v>
      </c>
    </row>
    <row r="36" spans="1:30" x14ac:dyDescent="0.35">
      <c r="A36" s="1">
        <v>34</v>
      </c>
      <c r="B36">
        <v>1914</v>
      </c>
      <c r="C36">
        <v>2986000</v>
      </c>
      <c r="D36">
        <v>126.6</v>
      </c>
      <c r="E36">
        <v>29.9</v>
      </c>
      <c r="F36">
        <v>1024.2</v>
      </c>
      <c r="G36">
        <v>27.894507702612191</v>
      </c>
      <c r="H36">
        <v>125.9678499665104</v>
      </c>
      <c r="J36">
        <v>140026</v>
      </c>
      <c r="K36">
        <v>78665</v>
      </c>
      <c r="L36">
        <v>61361</v>
      </c>
      <c r="P36">
        <v>1416343</v>
      </c>
      <c r="Q36">
        <f>(P36/T36)*100</f>
        <v>95.702407859751546</v>
      </c>
      <c r="R36">
        <v>683319</v>
      </c>
      <c r="S36">
        <v>796626</v>
      </c>
      <c r="T36">
        <v>1479945</v>
      </c>
      <c r="U36">
        <v>5.5533000000000001</v>
      </c>
      <c r="V36">
        <v>5.6921999999999997</v>
      </c>
      <c r="W36" t="s">
        <v>5</v>
      </c>
      <c r="X36" t="s">
        <v>6</v>
      </c>
      <c r="Y36">
        <v>45346</v>
      </c>
      <c r="Z36">
        <v>37947</v>
      </c>
      <c r="AA36">
        <v>0</v>
      </c>
      <c r="AB36">
        <v>54.2</v>
      </c>
      <c r="AC36">
        <v>56.8</v>
      </c>
      <c r="AD36">
        <v>52</v>
      </c>
    </row>
    <row r="37" spans="1:30" x14ac:dyDescent="0.35">
      <c r="A37" s="1">
        <v>35</v>
      </c>
      <c r="B37">
        <v>1915</v>
      </c>
      <c r="C37">
        <v>2965000</v>
      </c>
      <c r="D37">
        <v>125</v>
      </c>
      <c r="E37">
        <v>29.5</v>
      </c>
      <c r="F37">
        <v>924.2</v>
      </c>
      <c r="G37">
        <v>35.670489038785838</v>
      </c>
      <c r="H37">
        <v>164.02967959527831</v>
      </c>
      <c r="J37">
        <v>134384</v>
      </c>
      <c r="K37">
        <v>76066</v>
      </c>
      <c r="L37">
        <v>58318</v>
      </c>
      <c r="P37">
        <v>1832427</v>
      </c>
      <c r="Q37">
        <f>(P37/T37)*100</f>
        <v>96.20130156490184</v>
      </c>
      <c r="R37">
        <v>880923</v>
      </c>
      <c r="S37">
        <v>1023861</v>
      </c>
      <c r="T37">
        <v>1904784</v>
      </c>
      <c r="U37">
        <v>5.4006999999999996</v>
      </c>
      <c r="V37">
        <v>5.6830999999999996</v>
      </c>
      <c r="W37" t="s">
        <v>5</v>
      </c>
      <c r="X37" t="s">
        <v>6</v>
      </c>
      <c r="Y37">
        <v>58187</v>
      </c>
      <c r="Z37">
        <v>47576</v>
      </c>
      <c r="AA37">
        <v>0</v>
      </c>
      <c r="AB37">
        <v>54.5</v>
      </c>
      <c r="AC37">
        <v>56.8</v>
      </c>
      <c r="AD37">
        <v>52.5</v>
      </c>
    </row>
    <row r="38" spans="1:30" x14ac:dyDescent="0.35">
      <c r="A38" s="1">
        <v>36</v>
      </c>
      <c r="B38">
        <v>1916</v>
      </c>
      <c r="C38">
        <v>2964000</v>
      </c>
      <c r="D38">
        <v>123.4</v>
      </c>
      <c r="E38">
        <v>29.1</v>
      </c>
      <c r="F38">
        <v>1111.5</v>
      </c>
      <c r="G38">
        <v>37.611673414304988</v>
      </c>
      <c r="H38">
        <v>173.62786774628881</v>
      </c>
      <c r="J38">
        <v>152335</v>
      </c>
      <c r="K38">
        <v>86220</v>
      </c>
      <c r="L38">
        <v>66115</v>
      </c>
      <c r="P38">
        <v>1934414</v>
      </c>
      <c r="Q38">
        <f>(P38/T38)*100</f>
        <v>96.289563479520439</v>
      </c>
      <c r="R38">
        <v>923239</v>
      </c>
      <c r="S38">
        <v>1085716</v>
      </c>
      <c r="T38">
        <v>2008955</v>
      </c>
      <c r="U38">
        <v>5.4203999999999999</v>
      </c>
      <c r="V38">
        <v>5.6588000000000003</v>
      </c>
      <c r="W38" t="s">
        <v>5</v>
      </c>
      <c r="X38" t="s">
        <v>6</v>
      </c>
      <c r="Y38">
        <v>61438</v>
      </c>
      <c r="Z38">
        <v>50043</v>
      </c>
      <c r="AA38">
        <v>0</v>
      </c>
      <c r="AB38">
        <v>51.7</v>
      </c>
      <c r="AC38">
        <v>54.3</v>
      </c>
      <c r="AD38">
        <v>49.6</v>
      </c>
    </row>
    <row r="39" spans="1:30" x14ac:dyDescent="0.35">
      <c r="A39" s="1">
        <v>37</v>
      </c>
      <c r="B39">
        <v>1917</v>
      </c>
      <c r="C39">
        <v>2944000</v>
      </c>
      <c r="D39">
        <v>121</v>
      </c>
      <c r="E39">
        <v>28.5</v>
      </c>
      <c r="F39">
        <v>1066</v>
      </c>
      <c r="G39">
        <v>39.447010869565219</v>
      </c>
      <c r="H39">
        <v>182.57269021739131</v>
      </c>
      <c r="J39">
        <v>157487</v>
      </c>
      <c r="K39">
        <v>89427</v>
      </c>
      <c r="L39">
        <v>68060</v>
      </c>
      <c r="P39">
        <v>2006749</v>
      </c>
      <c r="Q39">
        <f>(P39/T39)*100</f>
        <v>96.339597550642225</v>
      </c>
      <c r="R39">
        <v>959306</v>
      </c>
      <c r="S39">
        <v>1123689</v>
      </c>
      <c r="T39">
        <v>2082995</v>
      </c>
      <c r="U39">
        <v>5.4051999999999998</v>
      </c>
      <c r="V39">
        <v>5.7203999999999997</v>
      </c>
      <c r="W39" t="s">
        <v>5</v>
      </c>
      <c r="X39" t="s">
        <v>6</v>
      </c>
      <c r="Y39">
        <v>64280</v>
      </c>
      <c r="Z39">
        <v>51852</v>
      </c>
      <c r="AA39">
        <v>0</v>
      </c>
      <c r="AB39">
        <v>50.9</v>
      </c>
      <c r="AC39">
        <v>54</v>
      </c>
      <c r="AD39">
        <v>48.4</v>
      </c>
    </row>
    <row r="40" spans="1:30" x14ac:dyDescent="0.35">
      <c r="A40" s="1">
        <v>38</v>
      </c>
      <c r="B40">
        <v>1918</v>
      </c>
      <c r="C40">
        <v>2948000</v>
      </c>
      <c r="D40">
        <v>119.8</v>
      </c>
      <c r="E40">
        <v>28.2</v>
      </c>
      <c r="F40">
        <v>1573.5</v>
      </c>
      <c r="G40">
        <v>42.036295793758477</v>
      </c>
      <c r="H40">
        <v>198.1156716417911</v>
      </c>
      <c r="J40">
        <v>188771</v>
      </c>
      <c r="K40">
        <v>106472</v>
      </c>
      <c r="L40">
        <v>82299</v>
      </c>
      <c r="P40">
        <v>2171111</v>
      </c>
      <c r="Q40">
        <f>(P40/T40)*100</f>
        <v>96.450698043452576</v>
      </c>
      <c r="R40">
        <v>1048650</v>
      </c>
      <c r="S40">
        <v>1202356</v>
      </c>
      <c r="T40">
        <v>2251006</v>
      </c>
      <c r="U40">
        <v>5.3933999999999997</v>
      </c>
      <c r="V40">
        <v>5.6026999999999996</v>
      </c>
      <c r="W40" t="s">
        <v>5</v>
      </c>
      <c r="X40" t="s">
        <v>6</v>
      </c>
      <c r="Y40">
        <v>67365</v>
      </c>
      <c r="Z40">
        <v>56558</v>
      </c>
      <c r="AA40">
        <v>0</v>
      </c>
      <c r="AB40">
        <v>39.1</v>
      </c>
      <c r="AC40">
        <v>42.2</v>
      </c>
      <c r="AD40">
        <v>36.6</v>
      </c>
    </row>
    <row r="41" spans="1:30" x14ac:dyDescent="0.35">
      <c r="A41" s="1">
        <v>39</v>
      </c>
      <c r="B41">
        <v>1919</v>
      </c>
      <c r="C41">
        <v>2740000</v>
      </c>
      <c r="D41">
        <v>111.2</v>
      </c>
      <c r="E41">
        <v>26.1</v>
      </c>
      <c r="F41">
        <v>928</v>
      </c>
      <c r="G41">
        <v>43.56167883211679</v>
      </c>
      <c r="H41">
        <v>205.51605839416061</v>
      </c>
      <c r="J41">
        <v>158235</v>
      </c>
      <c r="K41">
        <v>89648</v>
      </c>
      <c r="L41">
        <v>68587</v>
      </c>
      <c r="P41">
        <v>2110239</v>
      </c>
      <c r="Q41">
        <f>(P41/T41)*100</f>
        <v>96.359925203942538</v>
      </c>
      <c r="R41">
        <v>1015320</v>
      </c>
      <c r="S41">
        <v>1174635</v>
      </c>
      <c r="T41">
        <v>2189955</v>
      </c>
      <c r="U41">
        <v>5.2714999999999996</v>
      </c>
      <c r="V41">
        <v>5.6048</v>
      </c>
      <c r="W41" t="s">
        <v>5</v>
      </c>
      <c r="X41" t="s">
        <v>6</v>
      </c>
      <c r="Y41">
        <v>65836</v>
      </c>
      <c r="Z41">
        <v>53523</v>
      </c>
      <c r="AA41">
        <v>0</v>
      </c>
      <c r="AB41">
        <v>54.7</v>
      </c>
      <c r="AC41">
        <v>56</v>
      </c>
      <c r="AD41">
        <v>53.5</v>
      </c>
    </row>
    <row r="42" spans="1:30" x14ac:dyDescent="0.35">
      <c r="A42" s="1">
        <v>40</v>
      </c>
      <c r="B42">
        <v>1920</v>
      </c>
      <c r="C42">
        <v>2950000</v>
      </c>
      <c r="D42">
        <v>117.9</v>
      </c>
      <c r="E42">
        <v>27.7</v>
      </c>
      <c r="F42">
        <v>987.2</v>
      </c>
      <c r="G42">
        <v>43.354576271186438</v>
      </c>
      <c r="H42">
        <v>208.31694915254241</v>
      </c>
      <c r="J42">
        <v>170911</v>
      </c>
      <c r="K42">
        <v>97086</v>
      </c>
      <c r="L42">
        <v>73825</v>
      </c>
      <c r="P42">
        <v>2262645</v>
      </c>
      <c r="Q42">
        <f>(P42/T42)*100</f>
        <v>96.495590060972773</v>
      </c>
      <c r="R42">
        <v>1100785</v>
      </c>
      <c r="S42">
        <v>1244032</v>
      </c>
      <c r="T42">
        <v>2344817</v>
      </c>
      <c r="U42">
        <v>5.1702000000000004</v>
      </c>
      <c r="V42">
        <v>5.7058999999999997</v>
      </c>
      <c r="W42" t="s">
        <v>5</v>
      </c>
      <c r="X42" t="s">
        <v>6</v>
      </c>
      <c r="Y42">
        <v>70983</v>
      </c>
      <c r="Z42">
        <v>56913</v>
      </c>
      <c r="AA42">
        <v>0</v>
      </c>
      <c r="AB42">
        <v>54.1</v>
      </c>
      <c r="AC42">
        <v>54.6</v>
      </c>
      <c r="AD42">
        <v>53.6</v>
      </c>
    </row>
    <row r="43" spans="1:30" x14ac:dyDescent="0.35">
      <c r="A43" s="1">
        <v>41</v>
      </c>
      <c r="B43">
        <v>1921</v>
      </c>
      <c r="C43">
        <v>3055000</v>
      </c>
      <c r="D43">
        <v>119.8</v>
      </c>
      <c r="E43">
        <v>28.1</v>
      </c>
      <c r="F43">
        <v>801.2</v>
      </c>
      <c r="G43">
        <v>43.272995090016373</v>
      </c>
      <c r="H43">
        <v>208.80261865793781</v>
      </c>
      <c r="J43">
        <v>156329</v>
      </c>
      <c r="K43">
        <v>88795</v>
      </c>
      <c r="L43">
        <v>67534</v>
      </c>
      <c r="P43">
        <v>2334507</v>
      </c>
      <c r="Q43">
        <f>(P43/T43)*100</f>
        <v>96.561079197633404</v>
      </c>
      <c r="R43">
        <v>1137930</v>
      </c>
      <c r="S43">
        <v>1279718</v>
      </c>
      <c r="T43">
        <v>2417648</v>
      </c>
      <c r="U43">
        <v>5.1158999999999999</v>
      </c>
      <c r="V43">
        <v>5.7812999999999999</v>
      </c>
      <c r="W43" t="s">
        <v>5</v>
      </c>
      <c r="X43" t="s">
        <v>6</v>
      </c>
      <c r="Y43">
        <v>73984</v>
      </c>
      <c r="Z43">
        <v>58215</v>
      </c>
      <c r="AA43">
        <v>0</v>
      </c>
      <c r="AB43">
        <v>60.8</v>
      </c>
      <c r="AC43">
        <v>61.8</v>
      </c>
      <c r="AD43">
        <v>60</v>
      </c>
    </row>
    <row r="44" spans="1:30" x14ac:dyDescent="0.35">
      <c r="A44" s="1">
        <v>42</v>
      </c>
      <c r="B44">
        <v>1922</v>
      </c>
      <c r="C44">
        <v>2882000</v>
      </c>
      <c r="D44">
        <v>111.2</v>
      </c>
      <c r="E44">
        <v>26.2</v>
      </c>
      <c r="F44">
        <v>742</v>
      </c>
      <c r="G44">
        <v>44.919153365718252</v>
      </c>
      <c r="H44">
        <v>217.72866065232481</v>
      </c>
      <c r="J44">
        <v>155756</v>
      </c>
      <c r="K44">
        <v>88644</v>
      </c>
      <c r="L44">
        <v>67112</v>
      </c>
      <c r="P44">
        <v>2289157</v>
      </c>
      <c r="Q44">
        <f>(P44/T44)*100</f>
        <v>96.475940618052704</v>
      </c>
      <c r="R44">
        <v>1125194</v>
      </c>
      <c r="S44">
        <v>1247581</v>
      </c>
      <c r="T44">
        <v>2372775</v>
      </c>
      <c r="U44">
        <v>5.0907999999999998</v>
      </c>
      <c r="V44">
        <v>5.7853000000000003</v>
      </c>
      <c r="W44" t="s">
        <v>5</v>
      </c>
      <c r="X44" t="s">
        <v>6</v>
      </c>
      <c r="Y44">
        <v>72176</v>
      </c>
      <c r="Z44">
        <v>57281</v>
      </c>
      <c r="AA44">
        <v>0</v>
      </c>
      <c r="AB44">
        <v>59.6</v>
      </c>
      <c r="AC44">
        <v>61</v>
      </c>
      <c r="AD44">
        <v>58.4</v>
      </c>
    </row>
    <row r="45" spans="1:30" x14ac:dyDescent="0.35">
      <c r="A45" s="1">
        <v>43</v>
      </c>
      <c r="B45">
        <v>1923</v>
      </c>
      <c r="C45">
        <v>2910000</v>
      </c>
      <c r="D45">
        <v>110.5</v>
      </c>
      <c r="E45">
        <v>26</v>
      </c>
      <c r="F45">
        <v>806.7</v>
      </c>
      <c r="G45">
        <v>44.36494845360825</v>
      </c>
      <c r="H45">
        <v>218.6357388316151</v>
      </c>
      <c r="J45">
        <v>163354</v>
      </c>
      <c r="K45">
        <v>92255</v>
      </c>
      <c r="L45">
        <v>71099</v>
      </c>
      <c r="P45">
        <v>2302468</v>
      </c>
      <c r="Q45">
        <f>(P45/T45)*100</f>
        <v>96.550833409862207</v>
      </c>
      <c r="R45">
        <v>1132266</v>
      </c>
      <c r="S45">
        <v>1252455</v>
      </c>
      <c r="T45">
        <v>2384721</v>
      </c>
      <c r="U45">
        <v>5.0754000000000001</v>
      </c>
      <c r="V45">
        <v>5.7195</v>
      </c>
      <c r="W45" t="s">
        <v>5</v>
      </c>
      <c r="X45" t="s">
        <v>6</v>
      </c>
      <c r="Y45">
        <v>71635</v>
      </c>
      <c r="Z45">
        <v>57467</v>
      </c>
      <c r="AA45">
        <v>0</v>
      </c>
      <c r="AB45">
        <v>57.2</v>
      </c>
      <c r="AC45">
        <v>58.5</v>
      </c>
      <c r="AD45">
        <v>56.1</v>
      </c>
    </row>
    <row r="46" spans="1:30" x14ac:dyDescent="0.35">
      <c r="A46" s="1">
        <v>44</v>
      </c>
      <c r="B46">
        <v>1924</v>
      </c>
      <c r="C46">
        <v>2979000</v>
      </c>
      <c r="D46">
        <v>110.9</v>
      </c>
      <c r="E46">
        <v>26.1</v>
      </c>
      <c r="F46">
        <v>683.2</v>
      </c>
      <c r="G46">
        <v>45.093655589123863</v>
      </c>
      <c r="H46">
        <v>221.80798925814031</v>
      </c>
      <c r="J46">
        <v>158038</v>
      </c>
      <c r="K46">
        <v>90096</v>
      </c>
      <c r="L46">
        <v>67942</v>
      </c>
      <c r="P46">
        <v>2381614</v>
      </c>
      <c r="Q46">
        <f>(P46/T46)*100</f>
        <v>96.628686492958394</v>
      </c>
      <c r="R46">
        <v>1169027</v>
      </c>
      <c r="S46">
        <v>1295680</v>
      </c>
      <c r="T46">
        <v>2464707</v>
      </c>
      <c r="U46">
        <v>5.2008999999999999</v>
      </c>
      <c r="V46">
        <v>5.6753999999999998</v>
      </c>
      <c r="W46" t="s">
        <v>5</v>
      </c>
      <c r="X46" t="s">
        <v>7</v>
      </c>
      <c r="Y46">
        <v>73534</v>
      </c>
      <c r="Z46">
        <v>60800</v>
      </c>
      <c r="AA46">
        <v>0</v>
      </c>
      <c r="AB46">
        <v>59.7</v>
      </c>
      <c r="AC46">
        <v>61.5</v>
      </c>
      <c r="AD46">
        <v>58.1</v>
      </c>
    </row>
    <row r="47" spans="1:30" x14ac:dyDescent="0.35">
      <c r="A47" s="1">
        <v>45</v>
      </c>
      <c r="B47">
        <v>1925</v>
      </c>
      <c r="C47">
        <v>2909000</v>
      </c>
      <c r="D47">
        <v>106.6</v>
      </c>
      <c r="E47">
        <v>25.1</v>
      </c>
      <c r="F47">
        <v>641</v>
      </c>
      <c r="G47">
        <v>45.198006187693373</v>
      </c>
      <c r="H47">
        <v>222.47782743210729</v>
      </c>
      <c r="J47">
        <v>158080</v>
      </c>
      <c r="K47">
        <v>90051</v>
      </c>
      <c r="L47">
        <v>68029</v>
      </c>
      <c r="P47">
        <v>2333303</v>
      </c>
      <c r="Q47">
        <f>(P47/T47)*100</f>
        <v>96.637269227201045</v>
      </c>
      <c r="R47">
        <v>1151419</v>
      </c>
      <c r="S47">
        <v>1263077</v>
      </c>
      <c r="T47">
        <v>2414496</v>
      </c>
      <c r="U47">
        <v>5.2887000000000004</v>
      </c>
      <c r="V47">
        <v>5.5884</v>
      </c>
      <c r="W47" t="s">
        <v>5</v>
      </c>
      <c r="X47" t="s">
        <v>7</v>
      </c>
      <c r="Y47">
        <v>70586</v>
      </c>
      <c r="Z47">
        <v>60895</v>
      </c>
      <c r="AA47">
        <v>0</v>
      </c>
      <c r="AB47">
        <v>59</v>
      </c>
      <c r="AC47">
        <v>60.6</v>
      </c>
      <c r="AD47">
        <v>57.6</v>
      </c>
    </row>
    <row r="48" spans="1:30" x14ac:dyDescent="0.35">
      <c r="A48" s="1">
        <v>46</v>
      </c>
      <c r="B48">
        <v>1926</v>
      </c>
      <c r="C48">
        <v>2839000</v>
      </c>
      <c r="D48">
        <v>102.6</v>
      </c>
      <c r="E48">
        <v>24.2</v>
      </c>
      <c r="F48">
        <v>723.4</v>
      </c>
      <c r="G48">
        <v>45.426206410707998</v>
      </c>
      <c r="H48">
        <v>223.29270870024649</v>
      </c>
      <c r="J48">
        <v>159411</v>
      </c>
      <c r="K48">
        <v>90523</v>
      </c>
      <c r="L48">
        <v>68888</v>
      </c>
      <c r="P48">
        <v>2295906</v>
      </c>
      <c r="Q48">
        <f>(P48/T48)*100</f>
        <v>96.644415651985042</v>
      </c>
      <c r="R48">
        <v>1145447</v>
      </c>
      <c r="S48">
        <v>1230175</v>
      </c>
      <c r="T48">
        <v>2375622</v>
      </c>
      <c r="U48">
        <v>5.3369</v>
      </c>
      <c r="V48">
        <v>5.5141999999999998</v>
      </c>
      <c r="W48" t="s">
        <v>5</v>
      </c>
      <c r="X48" t="s">
        <v>7</v>
      </c>
      <c r="Y48">
        <v>67834</v>
      </c>
      <c r="Z48">
        <v>61131</v>
      </c>
      <c r="AA48">
        <v>0</v>
      </c>
      <c r="AB48">
        <v>56.7</v>
      </c>
      <c r="AC48">
        <v>58</v>
      </c>
      <c r="AD48">
        <v>55.5</v>
      </c>
    </row>
    <row r="49" spans="1:30" x14ac:dyDescent="0.35">
      <c r="A49" s="1">
        <v>47</v>
      </c>
      <c r="B49">
        <v>1927</v>
      </c>
      <c r="C49">
        <v>2802000</v>
      </c>
      <c r="D49">
        <v>99.8</v>
      </c>
      <c r="E49">
        <v>23.5</v>
      </c>
      <c r="F49">
        <v>591</v>
      </c>
      <c r="G49">
        <v>47.221627408993577</v>
      </c>
      <c r="H49">
        <v>228.89578872234119</v>
      </c>
      <c r="J49">
        <v>143752</v>
      </c>
      <c r="K49">
        <v>81896</v>
      </c>
      <c r="L49">
        <v>61856</v>
      </c>
      <c r="P49">
        <v>2319346</v>
      </c>
      <c r="Q49">
        <f>(P49/T49)*100</f>
        <v>96.706385838860072</v>
      </c>
      <c r="R49">
        <v>1161902</v>
      </c>
      <c r="S49">
        <v>1236436</v>
      </c>
      <c r="T49">
        <v>2398338</v>
      </c>
      <c r="U49">
        <v>5.3079000000000001</v>
      </c>
      <c r="V49">
        <v>5.7133000000000003</v>
      </c>
      <c r="W49" t="s">
        <v>5</v>
      </c>
      <c r="X49" t="s">
        <v>7</v>
      </c>
      <c r="Y49">
        <v>70642</v>
      </c>
      <c r="Z49">
        <v>61673</v>
      </c>
      <c r="AA49">
        <v>0</v>
      </c>
      <c r="AB49">
        <v>60.4</v>
      </c>
      <c r="AC49">
        <v>62.1</v>
      </c>
      <c r="AD49">
        <v>59</v>
      </c>
    </row>
    <row r="50" spans="1:30" x14ac:dyDescent="0.35">
      <c r="A50" s="1">
        <v>48</v>
      </c>
      <c r="B50">
        <v>1928</v>
      </c>
      <c r="C50">
        <v>2674000</v>
      </c>
      <c r="D50">
        <v>93.8</v>
      </c>
      <c r="E50">
        <v>22.2</v>
      </c>
      <c r="F50">
        <v>647.5</v>
      </c>
      <c r="G50">
        <v>47.707554225878837</v>
      </c>
      <c r="H50">
        <v>233.80964846671651</v>
      </c>
      <c r="J50">
        <v>153492</v>
      </c>
      <c r="K50">
        <v>87676</v>
      </c>
      <c r="L50">
        <v>65816</v>
      </c>
      <c r="P50">
        <v>2260931</v>
      </c>
      <c r="Q50">
        <f>(P50/T50)*100</f>
        <v>96.757145846697938</v>
      </c>
      <c r="R50">
        <v>1141168</v>
      </c>
      <c r="S50">
        <v>1195539</v>
      </c>
      <c r="T50">
        <v>2336707</v>
      </c>
      <c r="U50">
        <v>5.3190999999999997</v>
      </c>
      <c r="V50">
        <v>5.5933000000000002</v>
      </c>
      <c r="W50" t="s">
        <v>5</v>
      </c>
      <c r="X50" t="s">
        <v>7</v>
      </c>
      <c r="Y50">
        <v>66870</v>
      </c>
      <c r="Z50">
        <v>60700</v>
      </c>
      <c r="AA50">
        <v>0</v>
      </c>
      <c r="AB50">
        <v>56.8</v>
      </c>
      <c r="AC50">
        <v>58.3</v>
      </c>
      <c r="AD50">
        <v>55.6</v>
      </c>
    </row>
    <row r="51" spans="1:30" x14ac:dyDescent="0.35">
      <c r="A51" s="1">
        <v>49</v>
      </c>
      <c r="B51">
        <v>1929</v>
      </c>
      <c r="C51">
        <v>2582000</v>
      </c>
      <c r="D51">
        <v>89.3</v>
      </c>
      <c r="E51">
        <v>21.2</v>
      </c>
      <c r="F51">
        <v>625.5</v>
      </c>
      <c r="G51">
        <v>47.760650658404337</v>
      </c>
      <c r="H51">
        <v>235.69481022463211</v>
      </c>
      <c r="J51">
        <v>146661</v>
      </c>
      <c r="K51">
        <v>83144</v>
      </c>
      <c r="L51">
        <v>63517</v>
      </c>
      <c r="P51">
        <v>2192176</v>
      </c>
      <c r="Q51">
        <f>(P51/T51)*100</f>
        <v>96.776865122775789</v>
      </c>
      <c r="R51">
        <v>1107620</v>
      </c>
      <c r="S51">
        <v>1157566</v>
      </c>
      <c r="T51">
        <v>2265186</v>
      </c>
      <c r="U51">
        <v>5.3997000000000002</v>
      </c>
      <c r="V51">
        <v>5.4866000000000001</v>
      </c>
      <c r="W51" t="s">
        <v>5</v>
      </c>
      <c r="X51" t="s">
        <v>7</v>
      </c>
      <c r="Y51">
        <v>63510</v>
      </c>
      <c r="Z51">
        <v>59808</v>
      </c>
      <c r="AA51">
        <v>0</v>
      </c>
      <c r="AB51">
        <v>57.1</v>
      </c>
      <c r="AC51">
        <v>58.7</v>
      </c>
      <c r="AD51">
        <v>55.8</v>
      </c>
    </row>
    <row r="52" spans="1:30" x14ac:dyDescent="0.35">
      <c r="A52" s="1">
        <v>50</v>
      </c>
      <c r="B52">
        <v>1930</v>
      </c>
      <c r="C52">
        <v>2618000</v>
      </c>
      <c r="D52">
        <v>89.2</v>
      </c>
      <c r="E52">
        <v>21.3</v>
      </c>
      <c r="F52">
        <v>563.6</v>
      </c>
      <c r="G52">
        <v>48.243315508021389</v>
      </c>
      <c r="H52">
        <v>237.2123758594347</v>
      </c>
      <c r="J52">
        <v>143201</v>
      </c>
      <c r="K52">
        <v>81174</v>
      </c>
      <c r="L52">
        <v>62027</v>
      </c>
      <c r="P52">
        <v>2223305</v>
      </c>
      <c r="Q52">
        <f>(P52/T52)*100</f>
        <v>96.834347566276477</v>
      </c>
      <c r="R52">
        <v>1129520</v>
      </c>
      <c r="S52">
        <v>1166468</v>
      </c>
      <c r="T52">
        <v>2295988</v>
      </c>
      <c r="U52">
        <v>5.5022000000000002</v>
      </c>
      <c r="V52">
        <v>5.4997999999999996</v>
      </c>
      <c r="W52" t="s">
        <v>5</v>
      </c>
      <c r="X52" t="s">
        <v>7</v>
      </c>
      <c r="Y52">
        <v>64153</v>
      </c>
      <c r="Z52">
        <v>62148</v>
      </c>
      <c r="AA52">
        <v>0</v>
      </c>
      <c r="AB52">
        <v>59.7</v>
      </c>
      <c r="AC52">
        <v>61.6</v>
      </c>
      <c r="AD52">
        <v>58.1</v>
      </c>
    </row>
    <row r="53" spans="1:30" x14ac:dyDescent="0.35">
      <c r="A53" s="1">
        <v>51</v>
      </c>
      <c r="B53">
        <v>1931</v>
      </c>
      <c r="C53">
        <v>2506000</v>
      </c>
      <c r="D53">
        <v>84.6</v>
      </c>
      <c r="E53">
        <v>20.2</v>
      </c>
      <c r="F53">
        <v>526.6</v>
      </c>
      <c r="G53">
        <v>48.211093375897853</v>
      </c>
      <c r="H53">
        <v>237.23304070231441</v>
      </c>
      <c r="J53">
        <v>130911</v>
      </c>
      <c r="K53">
        <v>74485</v>
      </c>
      <c r="L53">
        <v>56426</v>
      </c>
      <c r="P53">
        <v>2104393</v>
      </c>
      <c r="Q53">
        <f>(P53/T53)*100</f>
        <v>96.819894797040547</v>
      </c>
      <c r="R53">
        <v>1069786</v>
      </c>
      <c r="S53">
        <v>1103727</v>
      </c>
      <c r="T53">
        <v>2173513</v>
      </c>
      <c r="U53">
        <v>5.6571999999999996</v>
      </c>
      <c r="V53">
        <v>5.4631999999999996</v>
      </c>
      <c r="W53" t="s">
        <v>5</v>
      </c>
      <c r="X53" t="s">
        <v>7</v>
      </c>
      <c r="Y53">
        <v>60298</v>
      </c>
      <c r="Z53">
        <v>60519</v>
      </c>
      <c r="AA53">
        <v>0</v>
      </c>
      <c r="AB53">
        <v>61.1</v>
      </c>
      <c r="AC53">
        <v>63.1</v>
      </c>
      <c r="AD53">
        <v>59.4</v>
      </c>
    </row>
    <row r="54" spans="1:30" x14ac:dyDescent="0.35">
      <c r="A54" s="1">
        <v>52</v>
      </c>
      <c r="B54">
        <v>1932</v>
      </c>
      <c r="C54">
        <v>2440000</v>
      </c>
      <c r="D54">
        <v>81.7</v>
      </c>
      <c r="E54">
        <v>19.5</v>
      </c>
      <c r="F54">
        <v>461.9</v>
      </c>
      <c r="G54">
        <v>48.831967213114751</v>
      </c>
      <c r="H54">
        <v>244.02581967213109</v>
      </c>
      <c r="J54">
        <v>119431</v>
      </c>
      <c r="K54">
        <v>67839</v>
      </c>
      <c r="L54">
        <v>51592</v>
      </c>
      <c r="P54">
        <v>2111305</v>
      </c>
      <c r="Q54">
        <f>(P54/T54)*100</f>
        <v>96.815367528845528</v>
      </c>
      <c r="R54">
        <v>1074442</v>
      </c>
      <c r="S54">
        <v>1106312</v>
      </c>
      <c r="T54">
        <v>2180754</v>
      </c>
      <c r="U54">
        <v>5.5163000000000002</v>
      </c>
      <c r="V54">
        <v>5.4127000000000001</v>
      </c>
      <c r="W54" t="s">
        <v>5</v>
      </c>
      <c r="X54" t="s">
        <v>7</v>
      </c>
      <c r="Y54">
        <v>59881</v>
      </c>
      <c r="Z54">
        <v>59269</v>
      </c>
      <c r="AA54">
        <v>0</v>
      </c>
      <c r="AB54">
        <v>62.1</v>
      </c>
      <c r="AC54">
        <v>63.5</v>
      </c>
      <c r="AD54">
        <v>61</v>
      </c>
    </row>
    <row r="55" spans="1:30" x14ac:dyDescent="0.35">
      <c r="A55" s="1">
        <v>53</v>
      </c>
      <c r="B55">
        <v>1933</v>
      </c>
      <c r="C55">
        <v>2307000</v>
      </c>
      <c r="D55">
        <v>76.3</v>
      </c>
      <c r="E55">
        <v>18.399999999999999</v>
      </c>
      <c r="F55">
        <v>472.6</v>
      </c>
      <c r="G55">
        <v>47.566536627654962</v>
      </c>
      <c r="H55">
        <v>243.43042912873861</v>
      </c>
      <c r="J55">
        <v>120887</v>
      </c>
      <c r="K55">
        <v>68331</v>
      </c>
      <c r="L55">
        <v>52556</v>
      </c>
      <c r="P55">
        <v>1999456</v>
      </c>
      <c r="Q55">
        <f>(P55/T55)*100</f>
        <v>96.767146358992477</v>
      </c>
      <c r="R55">
        <v>1020216</v>
      </c>
      <c r="S55">
        <v>1046039</v>
      </c>
      <c r="T55">
        <v>2066255</v>
      </c>
      <c r="U55">
        <v>5.3146000000000004</v>
      </c>
      <c r="V55">
        <v>5.3074000000000003</v>
      </c>
      <c r="W55" t="s">
        <v>5</v>
      </c>
      <c r="X55" t="s">
        <v>7</v>
      </c>
      <c r="Y55">
        <v>55517</v>
      </c>
      <c r="Z55">
        <v>54219</v>
      </c>
      <c r="AA55">
        <v>0</v>
      </c>
      <c r="AB55">
        <v>63.3</v>
      </c>
      <c r="AC55">
        <v>65.099999999999994</v>
      </c>
      <c r="AD55">
        <v>61.7</v>
      </c>
    </row>
    <row r="56" spans="1:30" x14ac:dyDescent="0.35">
      <c r="A56" s="1">
        <v>54</v>
      </c>
      <c r="B56">
        <v>1934</v>
      </c>
      <c r="C56">
        <v>2396000</v>
      </c>
      <c r="D56">
        <v>78.5</v>
      </c>
      <c r="E56">
        <v>19</v>
      </c>
      <c r="F56">
        <v>507.7</v>
      </c>
      <c r="G56">
        <v>47.065943238731222</v>
      </c>
      <c r="H56">
        <v>245.3338898163606</v>
      </c>
      <c r="J56">
        <v>130185</v>
      </c>
      <c r="K56">
        <v>73950</v>
      </c>
      <c r="L56">
        <v>56235</v>
      </c>
      <c r="P56">
        <v>2076821</v>
      </c>
      <c r="Q56">
        <f>(P56/T56)*100</f>
        <v>96.853279584534974</v>
      </c>
      <c r="R56">
        <v>1061949</v>
      </c>
      <c r="S56">
        <v>1082347</v>
      </c>
      <c r="T56">
        <v>2144296</v>
      </c>
      <c r="U56">
        <v>5.2582000000000004</v>
      </c>
      <c r="V56">
        <v>5.26</v>
      </c>
      <c r="W56" t="s">
        <v>5</v>
      </c>
      <c r="X56" t="s">
        <v>7</v>
      </c>
      <c r="Y56">
        <v>56931</v>
      </c>
      <c r="Z56">
        <v>55839</v>
      </c>
      <c r="AA56">
        <v>0</v>
      </c>
      <c r="AB56">
        <v>61.1</v>
      </c>
      <c r="AC56">
        <v>63.3</v>
      </c>
      <c r="AD56">
        <v>59.3</v>
      </c>
    </row>
    <row r="57" spans="1:30" x14ac:dyDescent="0.35">
      <c r="A57" s="1">
        <v>55</v>
      </c>
      <c r="B57">
        <v>1935</v>
      </c>
      <c r="C57">
        <v>2377000</v>
      </c>
      <c r="D57">
        <v>77.2</v>
      </c>
      <c r="E57">
        <v>18.7</v>
      </c>
      <c r="F57">
        <v>440.9</v>
      </c>
      <c r="G57">
        <v>46.951619688683223</v>
      </c>
      <c r="H57">
        <v>254.793016407236</v>
      </c>
      <c r="J57">
        <v>120138</v>
      </c>
      <c r="K57">
        <v>68805</v>
      </c>
      <c r="L57">
        <v>51333</v>
      </c>
      <c r="P57">
        <v>2089928</v>
      </c>
      <c r="Q57">
        <f>(P57/T57)*100</f>
        <v>96.91669097396283</v>
      </c>
      <c r="R57">
        <v>1069634</v>
      </c>
      <c r="S57">
        <v>1086783</v>
      </c>
      <c r="T57">
        <v>2156417</v>
      </c>
      <c r="U57">
        <v>5.2847999999999997</v>
      </c>
      <c r="V57">
        <v>5.0681000000000003</v>
      </c>
      <c r="W57" t="s">
        <v>5</v>
      </c>
      <c r="X57" t="s">
        <v>7</v>
      </c>
      <c r="Y57">
        <v>55078</v>
      </c>
      <c r="Z57">
        <v>56526</v>
      </c>
      <c r="AA57">
        <v>0</v>
      </c>
      <c r="AB57">
        <v>61.7</v>
      </c>
      <c r="AC57">
        <v>63.9</v>
      </c>
      <c r="AD57">
        <v>59.9</v>
      </c>
    </row>
    <row r="58" spans="1:30" x14ac:dyDescent="0.35">
      <c r="A58" s="1">
        <v>56</v>
      </c>
      <c r="B58">
        <v>1936</v>
      </c>
      <c r="C58">
        <v>2355000</v>
      </c>
      <c r="D58">
        <v>75.8</v>
      </c>
      <c r="E58">
        <v>18.399999999999999</v>
      </c>
      <c r="F58">
        <v>439.8</v>
      </c>
      <c r="G58">
        <v>47.929511677282377</v>
      </c>
      <c r="H58">
        <v>253.55414012738851</v>
      </c>
      <c r="J58">
        <v>122535</v>
      </c>
      <c r="K58">
        <v>69749</v>
      </c>
      <c r="L58">
        <v>52786</v>
      </c>
      <c r="P58">
        <v>2077595</v>
      </c>
      <c r="Q58">
        <f>(P58/T58)*100</f>
        <v>96.998257145911865</v>
      </c>
      <c r="R58">
        <v>1064320</v>
      </c>
      <c r="S58">
        <v>1077569</v>
      </c>
      <c r="T58">
        <v>2141889</v>
      </c>
      <c r="U58">
        <v>5.4966999999999997</v>
      </c>
      <c r="V58">
        <v>5.0460000000000003</v>
      </c>
      <c r="W58" t="s">
        <v>5</v>
      </c>
      <c r="X58" t="s">
        <v>7</v>
      </c>
      <c r="Y58">
        <v>54373</v>
      </c>
      <c r="Z58">
        <v>58501</v>
      </c>
      <c r="AA58">
        <v>0</v>
      </c>
      <c r="AB58">
        <v>58.5</v>
      </c>
      <c r="AC58">
        <v>60.6</v>
      </c>
      <c r="AD58">
        <v>56.6</v>
      </c>
    </row>
    <row r="59" spans="1:30" x14ac:dyDescent="0.35">
      <c r="A59" s="1">
        <v>57</v>
      </c>
      <c r="B59">
        <v>1937</v>
      </c>
      <c r="C59">
        <v>2413000</v>
      </c>
      <c r="D59">
        <v>77.099999999999994</v>
      </c>
      <c r="E59">
        <v>18.7</v>
      </c>
      <c r="F59">
        <v>418.7</v>
      </c>
      <c r="G59">
        <v>48.688354745130553</v>
      </c>
      <c r="H59">
        <v>252.55076668048071</v>
      </c>
      <c r="J59">
        <v>119931</v>
      </c>
      <c r="K59">
        <v>68173</v>
      </c>
      <c r="L59">
        <v>52758</v>
      </c>
      <c r="P59">
        <v>2130692</v>
      </c>
      <c r="Q59">
        <f>(P59/T59)*100</f>
        <v>97.0460222231534</v>
      </c>
      <c r="R59">
        <v>1093688</v>
      </c>
      <c r="S59">
        <v>1101860</v>
      </c>
      <c r="T59">
        <v>2195548</v>
      </c>
      <c r="U59">
        <v>5.6546000000000003</v>
      </c>
      <c r="V59">
        <v>5.0500999999999996</v>
      </c>
      <c r="W59" t="s">
        <v>5</v>
      </c>
      <c r="X59" t="s">
        <v>7</v>
      </c>
      <c r="Y59">
        <v>55644</v>
      </c>
      <c r="Z59">
        <v>61841</v>
      </c>
      <c r="AA59">
        <v>0</v>
      </c>
      <c r="AB59">
        <v>60</v>
      </c>
      <c r="AC59">
        <v>62.4</v>
      </c>
      <c r="AD59">
        <v>58</v>
      </c>
    </row>
    <row r="60" spans="1:30" x14ac:dyDescent="0.35">
      <c r="A60" s="1">
        <v>58</v>
      </c>
      <c r="B60">
        <v>1938</v>
      </c>
      <c r="C60">
        <v>2496000</v>
      </c>
      <c r="D60">
        <v>79.099999999999994</v>
      </c>
      <c r="E60">
        <v>19.2</v>
      </c>
      <c r="F60">
        <v>383.8</v>
      </c>
      <c r="G60">
        <v>47.472756410256409</v>
      </c>
      <c r="H60">
        <v>251.56009615384619</v>
      </c>
      <c r="J60">
        <v>116702</v>
      </c>
      <c r="K60">
        <v>66462</v>
      </c>
      <c r="L60">
        <v>50240</v>
      </c>
      <c r="P60">
        <v>2212603</v>
      </c>
      <c r="Q60">
        <f>(P60/T60)*100</f>
        <v>97.130258233738303</v>
      </c>
      <c r="R60">
        <v>1136500</v>
      </c>
      <c r="S60">
        <v>1141475</v>
      </c>
      <c r="T60">
        <v>2277975</v>
      </c>
      <c r="U60">
        <v>5.4791999999999996</v>
      </c>
      <c r="V60">
        <v>4.9253999999999998</v>
      </c>
      <c r="W60" t="s">
        <v>5</v>
      </c>
      <c r="X60" t="s">
        <v>7</v>
      </c>
      <c r="Y60">
        <v>56221</v>
      </c>
      <c r="Z60">
        <v>62271</v>
      </c>
      <c r="AA60">
        <v>0</v>
      </c>
      <c r="AB60">
        <v>63.5</v>
      </c>
      <c r="AC60">
        <v>65.3</v>
      </c>
      <c r="AD60">
        <v>61.9</v>
      </c>
    </row>
    <row r="61" spans="1:30" x14ac:dyDescent="0.35">
      <c r="A61" s="1">
        <v>59</v>
      </c>
      <c r="B61">
        <v>1939</v>
      </c>
      <c r="C61">
        <v>2466000</v>
      </c>
      <c r="D61">
        <v>77.599999999999994</v>
      </c>
      <c r="E61">
        <v>18.8</v>
      </c>
      <c r="F61">
        <v>318.3</v>
      </c>
      <c r="G61">
        <v>46.45539334955393</v>
      </c>
      <c r="H61">
        <v>252.4456609894566</v>
      </c>
      <c r="J61">
        <v>108846</v>
      </c>
      <c r="K61">
        <v>61985</v>
      </c>
      <c r="L61">
        <v>46861</v>
      </c>
      <c r="P61">
        <v>2203464</v>
      </c>
      <c r="Q61">
        <f>(P61/T61)*100</f>
        <v>97.179263498369522</v>
      </c>
      <c r="R61">
        <v>1133339</v>
      </c>
      <c r="S61">
        <v>1134083</v>
      </c>
      <c r="T61">
        <v>2267422</v>
      </c>
      <c r="U61">
        <v>5.2641999999999998</v>
      </c>
      <c r="V61">
        <v>4.8409000000000004</v>
      </c>
      <c r="W61" t="s">
        <v>5</v>
      </c>
      <c r="X61" t="s">
        <v>7</v>
      </c>
      <c r="Y61">
        <v>54899</v>
      </c>
      <c r="Z61">
        <v>59660</v>
      </c>
      <c r="AA61">
        <v>0</v>
      </c>
      <c r="AB61">
        <v>63.7</v>
      </c>
      <c r="AC61">
        <v>65.400000000000006</v>
      </c>
      <c r="AD61">
        <v>62.1</v>
      </c>
    </row>
    <row r="62" spans="1:30" x14ac:dyDescent="0.35">
      <c r="A62" s="1">
        <v>60</v>
      </c>
      <c r="B62">
        <v>1940</v>
      </c>
      <c r="C62">
        <v>2360399</v>
      </c>
      <c r="D62">
        <v>79.900000000000006</v>
      </c>
      <c r="E62">
        <v>19.399999999999999</v>
      </c>
      <c r="F62">
        <v>289.60000000000002</v>
      </c>
      <c r="G62">
        <v>46.382962094568192</v>
      </c>
      <c r="H62">
        <v>254.72723720203209</v>
      </c>
      <c r="J62">
        <v>110984</v>
      </c>
      <c r="K62">
        <v>63557</v>
      </c>
      <c r="L62">
        <v>47427</v>
      </c>
      <c r="M62">
        <v>1211684</v>
      </c>
      <c r="N62">
        <v>1148715</v>
      </c>
      <c r="O62">
        <f>M62/C62 * 100</f>
        <v>51.33386346969305</v>
      </c>
      <c r="P62">
        <v>2302700</v>
      </c>
      <c r="Q62">
        <f>(P62/T62)*100</f>
        <v>97.260142052942086</v>
      </c>
      <c r="R62">
        <v>1186207</v>
      </c>
      <c r="S62">
        <v>1181361</v>
      </c>
      <c r="T62">
        <v>2367568</v>
      </c>
      <c r="U62">
        <v>5.2674000000000003</v>
      </c>
      <c r="V62">
        <v>4.7584999999999997</v>
      </c>
      <c r="W62" t="s">
        <v>5</v>
      </c>
      <c r="X62" t="s">
        <v>8</v>
      </c>
      <c r="Y62">
        <v>56214</v>
      </c>
      <c r="Z62">
        <v>62480</v>
      </c>
      <c r="AA62">
        <v>1</v>
      </c>
      <c r="AB62">
        <v>62.9</v>
      </c>
      <c r="AC62">
        <v>65.2</v>
      </c>
      <c r="AD62">
        <v>60.8</v>
      </c>
    </row>
    <row r="63" spans="1:30" x14ac:dyDescent="0.35">
      <c r="A63" s="1">
        <v>61</v>
      </c>
      <c r="B63">
        <v>1941</v>
      </c>
      <c r="C63">
        <v>2513427</v>
      </c>
      <c r="D63">
        <v>83.4</v>
      </c>
      <c r="E63">
        <v>20.3</v>
      </c>
      <c r="F63">
        <v>279.89999999999998</v>
      </c>
      <c r="G63">
        <v>46.170551239363682</v>
      </c>
      <c r="H63">
        <v>257.62523122456531</v>
      </c>
      <c r="J63">
        <v>113949</v>
      </c>
      <c r="K63">
        <v>64987</v>
      </c>
      <c r="L63">
        <v>48962</v>
      </c>
      <c r="M63">
        <v>1289734</v>
      </c>
      <c r="N63">
        <v>1223693</v>
      </c>
      <c r="O63">
        <f t="shared" ref="O63:O126" si="0">M63/C63 * 100</f>
        <v>51.31376403611484</v>
      </c>
      <c r="P63">
        <v>2436437</v>
      </c>
      <c r="Q63">
        <f>(P63/T63)*100</f>
        <v>97.421979430695458</v>
      </c>
      <c r="R63">
        <v>1254905</v>
      </c>
      <c r="S63">
        <v>1246006</v>
      </c>
      <c r="T63">
        <v>2500911</v>
      </c>
      <c r="U63">
        <v>5.3193999999999999</v>
      </c>
      <c r="V63">
        <v>4.6588000000000003</v>
      </c>
      <c r="W63" t="s">
        <v>5</v>
      </c>
      <c r="X63" t="s">
        <v>8</v>
      </c>
      <c r="Y63">
        <v>58048</v>
      </c>
      <c r="Z63">
        <v>66751</v>
      </c>
      <c r="AA63">
        <v>1</v>
      </c>
      <c r="AB63">
        <v>64.8</v>
      </c>
      <c r="AC63">
        <v>66.8</v>
      </c>
      <c r="AD63">
        <v>63.1</v>
      </c>
    </row>
    <row r="64" spans="1:30" x14ac:dyDescent="0.35">
      <c r="A64" s="1">
        <v>62</v>
      </c>
      <c r="B64">
        <v>1942</v>
      </c>
      <c r="C64">
        <v>2808996</v>
      </c>
      <c r="D64">
        <v>91.5</v>
      </c>
      <c r="E64">
        <v>22.2</v>
      </c>
      <c r="F64">
        <v>243.4</v>
      </c>
      <c r="G64">
        <v>46.981599197055871</v>
      </c>
      <c r="H64">
        <v>264.82870525259278</v>
      </c>
      <c r="J64">
        <v>113492</v>
      </c>
      <c r="K64">
        <v>64829</v>
      </c>
      <c r="L64">
        <v>48663</v>
      </c>
      <c r="M64">
        <v>1444365</v>
      </c>
      <c r="N64">
        <v>1364631</v>
      </c>
      <c r="O64">
        <f t="shared" si="0"/>
        <v>51.419261543982266</v>
      </c>
      <c r="P64">
        <v>2731880</v>
      </c>
      <c r="Q64">
        <f>(P64/T64)*100</f>
        <v>97.605627361645446</v>
      </c>
      <c r="R64">
        <v>1408377</v>
      </c>
      <c r="S64">
        <v>1390519</v>
      </c>
      <c r="T64">
        <v>2798896</v>
      </c>
      <c r="U64">
        <v>5.4798999999999998</v>
      </c>
      <c r="V64">
        <v>4.5491000000000001</v>
      </c>
      <c r="W64" t="s">
        <v>5</v>
      </c>
      <c r="X64" t="s">
        <v>8</v>
      </c>
      <c r="Y64">
        <v>63254</v>
      </c>
      <c r="Z64">
        <v>77174</v>
      </c>
      <c r="AA64">
        <v>1</v>
      </c>
      <c r="AB64">
        <v>66.2</v>
      </c>
      <c r="AC64">
        <v>67.900000000000006</v>
      </c>
      <c r="AD64">
        <v>64.7</v>
      </c>
    </row>
    <row r="65" spans="1:30" x14ac:dyDescent="0.35">
      <c r="A65" s="1">
        <v>63</v>
      </c>
      <c r="B65">
        <v>1943</v>
      </c>
      <c r="C65">
        <v>2936860</v>
      </c>
      <c r="D65">
        <v>94.3</v>
      </c>
      <c r="E65">
        <v>22.7</v>
      </c>
      <c r="F65">
        <v>256.39999999999998</v>
      </c>
      <c r="G65">
        <v>47.18202319587629</v>
      </c>
      <c r="H65">
        <v>266.72390463917532</v>
      </c>
      <c r="J65">
        <v>118484</v>
      </c>
      <c r="K65">
        <v>67943</v>
      </c>
      <c r="L65">
        <v>50541</v>
      </c>
      <c r="M65">
        <v>1508959</v>
      </c>
      <c r="N65">
        <v>1427901</v>
      </c>
      <c r="O65">
        <f t="shared" si="0"/>
        <v>51.380011304590624</v>
      </c>
      <c r="P65">
        <v>2822590</v>
      </c>
      <c r="Q65">
        <f>(P65/T65)*100</f>
        <v>97.665615360261313</v>
      </c>
      <c r="R65">
        <v>1454648</v>
      </c>
      <c r="S65">
        <v>1435407</v>
      </c>
      <c r="T65">
        <v>2890055</v>
      </c>
      <c r="U65">
        <v>5.5186000000000002</v>
      </c>
      <c r="V65">
        <v>4.6104000000000003</v>
      </c>
      <c r="W65" t="s">
        <v>5</v>
      </c>
      <c r="X65" t="s">
        <v>8</v>
      </c>
      <c r="Y65">
        <v>66178</v>
      </c>
      <c r="Z65">
        <v>80275</v>
      </c>
      <c r="AA65">
        <v>1</v>
      </c>
      <c r="AB65">
        <v>63.3</v>
      </c>
      <c r="AC65">
        <v>64.400000000000006</v>
      </c>
      <c r="AD65">
        <v>62.4</v>
      </c>
    </row>
    <row r="66" spans="1:30" x14ac:dyDescent="0.35">
      <c r="A66" s="1">
        <v>64</v>
      </c>
      <c r="B66">
        <v>1944</v>
      </c>
      <c r="C66">
        <v>2794800</v>
      </c>
      <c r="D66">
        <v>88.8</v>
      </c>
      <c r="E66">
        <v>21.2</v>
      </c>
      <c r="F66">
        <v>233</v>
      </c>
      <c r="G66">
        <v>47.440966315073148</v>
      </c>
      <c r="H66">
        <v>268.65702619938747</v>
      </c>
      <c r="J66">
        <v>111127</v>
      </c>
      <c r="K66">
        <v>63264</v>
      </c>
      <c r="L66">
        <v>47863</v>
      </c>
      <c r="M66">
        <v>1435301</v>
      </c>
      <c r="N66">
        <v>1359499</v>
      </c>
      <c r="O66">
        <f t="shared" si="0"/>
        <v>51.356125661943608</v>
      </c>
      <c r="P66">
        <v>2690098</v>
      </c>
      <c r="Q66">
        <f>(P66/T66)*100</f>
        <v>97.618379746339357</v>
      </c>
      <c r="R66">
        <v>1389190</v>
      </c>
      <c r="S66">
        <v>1366539</v>
      </c>
      <c r="T66">
        <v>2755729</v>
      </c>
      <c r="U66">
        <v>5.5397999999999996</v>
      </c>
      <c r="V66">
        <v>4.5716999999999999</v>
      </c>
      <c r="W66" t="s">
        <v>5</v>
      </c>
      <c r="X66" t="s">
        <v>8</v>
      </c>
      <c r="Y66">
        <v>62473</v>
      </c>
      <c r="Z66">
        <v>76956</v>
      </c>
      <c r="AA66">
        <v>1</v>
      </c>
      <c r="AB66">
        <v>65.2</v>
      </c>
      <c r="AC66">
        <v>66.8</v>
      </c>
      <c r="AD66">
        <v>63.6</v>
      </c>
    </row>
    <row r="67" spans="1:30" x14ac:dyDescent="0.35">
      <c r="A67" s="1">
        <v>65</v>
      </c>
      <c r="B67">
        <v>1945</v>
      </c>
      <c r="C67">
        <v>2735456</v>
      </c>
      <c r="D67">
        <v>85.9</v>
      </c>
      <c r="E67">
        <v>20.399999999999999</v>
      </c>
      <c r="F67">
        <v>203</v>
      </c>
      <c r="G67">
        <v>46.79531140657803</v>
      </c>
      <c r="H67">
        <v>270.62561231630508</v>
      </c>
      <c r="J67">
        <v>104684</v>
      </c>
      <c r="K67">
        <v>59998</v>
      </c>
      <c r="L67">
        <v>44686</v>
      </c>
      <c r="M67">
        <v>1404587</v>
      </c>
      <c r="N67">
        <v>1330869</v>
      </c>
      <c r="O67">
        <f t="shared" si="0"/>
        <v>51.347453587262969</v>
      </c>
      <c r="P67">
        <v>2652945</v>
      </c>
      <c r="Q67">
        <f>(P67/T67)*100</f>
        <v>97.619405948026255</v>
      </c>
      <c r="R67">
        <v>1371520</v>
      </c>
      <c r="S67">
        <v>1346121</v>
      </c>
      <c r="T67">
        <v>2717641</v>
      </c>
      <c r="U67">
        <v>5.4294000000000002</v>
      </c>
      <c r="V67">
        <v>4.4038000000000004</v>
      </c>
      <c r="W67" t="s">
        <v>5</v>
      </c>
      <c r="X67" t="s">
        <v>8</v>
      </c>
      <c r="Y67">
        <v>59280</v>
      </c>
      <c r="Z67">
        <v>74461</v>
      </c>
      <c r="AA67">
        <v>1</v>
      </c>
      <c r="AB67">
        <v>65.900000000000006</v>
      </c>
      <c r="AC67">
        <v>67.900000000000006</v>
      </c>
      <c r="AD67">
        <v>63.6</v>
      </c>
    </row>
    <row r="68" spans="1:30" x14ac:dyDescent="0.35">
      <c r="A68" s="1">
        <v>66</v>
      </c>
      <c r="B68">
        <v>1946</v>
      </c>
      <c r="C68">
        <v>3288672</v>
      </c>
      <c r="D68">
        <v>101.9</v>
      </c>
      <c r="E68">
        <v>24.1</v>
      </c>
      <c r="F68">
        <v>181.5</v>
      </c>
      <c r="G68">
        <v>45.414834359425377</v>
      </c>
      <c r="H68">
        <v>278.70214013485781</v>
      </c>
      <c r="J68">
        <v>111063</v>
      </c>
      <c r="K68">
        <v>63948</v>
      </c>
      <c r="L68">
        <v>47115</v>
      </c>
      <c r="M68">
        <v>1691220</v>
      </c>
      <c r="N68">
        <v>1597452</v>
      </c>
      <c r="O68">
        <f t="shared" si="0"/>
        <v>51.425621040955136</v>
      </c>
      <c r="P68">
        <v>3195328</v>
      </c>
      <c r="Q68">
        <f>(P68/T68)*100</f>
        <v>97.915427527804979</v>
      </c>
      <c r="R68">
        <v>1650427</v>
      </c>
      <c r="S68">
        <v>1612928</v>
      </c>
      <c r="T68">
        <v>3263355</v>
      </c>
      <c r="U68">
        <v>5.298</v>
      </c>
      <c r="V68">
        <v>4.1833</v>
      </c>
      <c r="W68" t="s">
        <v>5</v>
      </c>
      <c r="X68" t="s">
        <v>8</v>
      </c>
      <c r="Y68">
        <v>67472</v>
      </c>
      <c r="Z68">
        <v>87438</v>
      </c>
      <c r="AA68">
        <v>1</v>
      </c>
      <c r="AB68">
        <v>66.7</v>
      </c>
      <c r="AC68">
        <v>69.400000000000006</v>
      </c>
      <c r="AD68">
        <v>64.400000000000006</v>
      </c>
    </row>
    <row r="69" spans="1:30" x14ac:dyDescent="0.35">
      <c r="A69" s="1">
        <v>67</v>
      </c>
      <c r="B69">
        <v>1947</v>
      </c>
      <c r="C69">
        <v>3699940</v>
      </c>
      <c r="D69">
        <v>113.3</v>
      </c>
      <c r="E69">
        <v>26.6</v>
      </c>
      <c r="F69">
        <v>160.80000000000001</v>
      </c>
      <c r="G69">
        <v>50.944197013361283</v>
      </c>
      <c r="H69">
        <v>284.34686926905943</v>
      </c>
      <c r="J69">
        <v>119173</v>
      </c>
      <c r="K69">
        <v>68622</v>
      </c>
      <c r="L69">
        <v>50551</v>
      </c>
      <c r="M69">
        <v>1899876</v>
      </c>
      <c r="N69">
        <v>1800064</v>
      </c>
      <c r="O69">
        <f t="shared" si="0"/>
        <v>51.348832683773246</v>
      </c>
      <c r="P69">
        <v>3602365</v>
      </c>
      <c r="Q69">
        <f>(P69/T69)*100</f>
        <v>98.008656100651919</v>
      </c>
      <c r="R69">
        <v>1857662</v>
      </c>
      <c r="S69">
        <v>1817896</v>
      </c>
      <c r="T69">
        <v>3675558</v>
      </c>
      <c r="U69">
        <v>5.1013000000000002</v>
      </c>
      <c r="V69">
        <v>5.4840999999999998</v>
      </c>
      <c r="W69" t="s">
        <v>9</v>
      </c>
      <c r="X69" t="s">
        <v>8</v>
      </c>
      <c r="Y69">
        <v>99693</v>
      </c>
      <c r="Z69">
        <v>94761</v>
      </c>
      <c r="AA69">
        <v>1</v>
      </c>
      <c r="AB69">
        <v>66.8</v>
      </c>
      <c r="AC69">
        <v>69.7</v>
      </c>
      <c r="AD69">
        <v>64.400000000000006</v>
      </c>
    </row>
    <row r="70" spans="1:30" x14ac:dyDescent="0.35">
      <c r="A70" s="1">
        <v>68</v>
      </c>
      <c r="B70">
        <v>1948</v>
      </c>
      <c r="C70">
        <v>3535068</v>
      </c>
      <c r="D70">
        <v>107.3</v>
      </c>
      <c r="E70">
        <v>24.9</v>
      </c>
      <c r="F70">
        <v>160.1</v>
      </c>
      <c r="G70">
        <v>50.816332141875172</v>
      </c>
      <c r="H70">
        <v>282.55072862249108</v>
      </c>
      <c r="J70">
        <v>113169</v>
      </c>
      <c r="K70">
        <v>65151</v>
      </c>
      <c r="L70">
        <v>48018</v>
      </c>
      <c r="M70">
        <v>1813852</v>
      </c>
      <c r="N70">
        <v>1721216</v>
      </c>
      <c r="O70">
        <f t="shared" si="0"/>
        <v>51.310243537040868</v>
      </c>
      <c r="P70">
        <v>3452526</v>
      </c>
      <c r="Q70">
        <f>(P70/T70)*100</f>
        <v>97.93147032819347</v>
      </c>
      <c r="R70">
        <v>1782759</v>
      </c>
      <c r="S70">
        <v>1742692</v>
      </c>
      <c r="T70">
        <v>3525451</v>
      </c>
      <c r="U70">
        <v>4.9701000000000004</v>
      </c>
      <c r="V70">
        <v>5.5210999999999997</v>
      </c>
      <c r="W70" t="s">
        <v>9</v>
      </c>
      <c r="X70" t="s">
        <v>8</v>
      </c>
      <c r="Y70">
        <v>96215</v>
      </c>
      <c r="Z70">
        <v>88604</v>
      </c>
      <c r="AA70">
        <v>1</v>
      </c>
      <c r="AB70">
        <v>67.2</v>
      </c>
      <c r="AC70">
        <v>69.900000000000006</v>
      </c>
      <c r="AD70">
        <v>64.599999999999994</v>
      </c>
    </row>
    <row r="71" spans="1:30" x14ac:dyDescent="0.35">
      <c r="A71" s="1">
        <v>69</v>
      </c>
      <c r="B71">
        <v>1949</v>
      </c>
      <c r="C71">
        <v>3559529</v>
      </c>
      <c r="D71">
        <v>107.1</v>
      </c>
      <c r="E71">
        <v>24.5</v>
      </c>
      <c r="F71">
        <v>150.19999999999999</v>
      </c>
      <c r="G71">
        <v>48.746231844340919</v>
      </c>
      <c r="H71">
        <v>280.714990408331</v>
      </c>
      <c r="J71">
        <v>111531</v>
      </c>
      <c r="K71">
        <v>64161</v>
      </c>
      <c r="L71">
        <v>47370</v>
      </c>
      <c r="M71">
        <v>1826352</v>
      </c>
      <c r="N71">
        <v>1733177</v>
      </c>
      <c r="O71">
        <f t="shared" si="0"/>
        <v>51.308810800530068</v>
      </c>
      <c r="P71">
        <v>3484816</v>
      </c>
      <c r="Q71">
        <f>(P71/T71)*100</f>
        <v>97.954016242392356</v>
      </c>
      <c r="R71">
        <v>1802068</v>
      </c>
      <c r="S71">
        <v>1755536</v>
      </c>
      <c r="T71">
        <v>3557604</v>
      </c>
      <c r="U71">
        <v>4.8201000000000001</v>
      </c>
      <c r="V71">
        <v>5.1845999999999997</v>
      </c>
      <c r="W71" t="s">
        <v>9</v>
      </c>
      <c r="X71" t="s">
        <v>8</v>
      </c>
      <c r="Y71">
        <v>91017</v>
      </c>
      <c r="Z71">
        <v>86858</v>
      </c>
      <c r="AA71">
        <v>1</v>
      </c>
      <c r="AB71">
        <v>68</v>
      </c>
      <c r="AC71">
        <v>70.7</v>
      </c>
      <c r="AD71">
        <v>65.2</v>
      </c>
    </row>
    <row r="72" spans="1:30" x14ac:dyDescent="0.35">
      <c r="A72" s="1">
        <v>70</v>
      </c>
      <c r="B72">
        <v>1950</v>
      </c>
      <c r="C72">
        <v>3554149</v>
      </c>
      <c r="D72">
        <v>106.2</v>
      </c>
      <c r="E72">
        <v>24.1</v>
      </c>
      <c r="F72">
        <v>139.4</v>
      </c>
      <c r="G72">
        <v>45.8851872246696</v>
      </c>
      <c r="H72">
        <v>280.29625550660791</v>
      </c>
      <c r="I72">
        <v>31.7</v>
      </c>
      <c r="J72">
        <v>103825</v>
      </c>
      <c r="K72">
        <v>59727</v>
      </c>
      <c r="L72">
        <v>44098</v>
      </c>
      <c r="M72">
        <v>1823555</v>
      </c>
      <c r="N72">
        <v>1730594</v>
      </c>
      <c r="O72">
        <f t="shared" si="0"/>
        <v>51.307781412653206</v>
      </c>
      <c r="P72">
        <v>3503316</v>
      </c>
      <c r="Q72">
        <f>(P72/T72)*100</f>
        <v>97.932039673574394</v>
      </c>
      <c r="R72">
        <v>1818762</v>
      </c>
      <c r="S72">
        <v>1758531</v>
      </c>
      <c r="T72">
        <v>3577293</v>
      </c>
      <c r="U72">
        <v>4.7407000000000004</v>
      </c>
      <c r="V72">
        <v>4.5736999999999997</v>
      </c>
      <c r="W72" t="s">
        <v>9</v>
      </c>
      <c r="X72" t="s">
        <v>8</v>
      </c>
      <c r="Y72">
        <v>80430</v>
      </c>
      <c r="Z72">
        <v>86225</v>
      </c>
      <c r="AA72">
        <v>1</v>
      </c>
      <c r="AB72">
        <v>68.2</v>
      </c>
      <c r="AC72">
        <v>71.099999999999994</v>
      </c>
      <c r="AD72">
        <v>65.599999999999994</v>
      </c>
    </row>
    <row r="73" spans="1:30" x14ac:dyDescent="0.35">
      <c r="A73" s="1">
        <v>71</v>
      </c>
      <c r="B73">
        <v>1951</v>
      </c>
      <c r="C73">
        <v>3750850</v>
      </c>
      <c r="D73">
        <v>111.5</v>
      </c>
      <c r="E73">
        <v>24.9</v>
      </c>
      <c r="F73">
        <v>136.9</v>
      </c>
      <c r="G73">
        <v>42.207853403141357</v>
      </c>
      <c r="H73">
        <v>279.50549738219888</v>
      </c>
      <c r="I73">
        <v>31.4</v>
      </c>
      <c r="J73">
        <v>106702</v>
      </c>
      <c r="K73">
        <v>61465</v>
      </c>
      <c r="L73">
        <v>45237</v>
      </c>
      <c r="M73">
        <v>1923020</v>
      </c>
      <c r="N73">
        <v>1827830</v>
      </c>
      <c r="O73">
        <f t="shared" si="0"/>
        <v>51.268912379860566</v>
      </c>
      <c r="P73">
        <v>3683696</v>
      </c>
      <c r="Q73">
        <f>(P73/T73)*100</f>
        <v>97.998630459870711</v>
      </c>
      <c r="R73">
        <v>1911662</v>
      </c>
      <c r="S73">
        <v>1847264</v>
      </c>
      <c r="T73">
        <v>3758926</v>
      </c>
      <c r="U73">
        <v>4.5641999999999996</v>
      </c>
      <c r="V73">
        <v>4.0049000000000001</v>
      </c>
      <c r="W73" t="s">
        <v>9</v>
      </c>
      <c r="X73" t="s">
        <v>8</v>
      </c>
      <c r="Y73">
        <v>73982</v>
      </c>
      <c r="Z73">
        <v>87252</v>
      </c>
      <c r="AA73">
        <v>1</v>
      </c>
      <c r="AB73">
        <v>68.400000000000006</v>
      </c>
      <c r="AC73">
        <v>71.400000000000006</v>
      </c>
      <c r="AD73">
        <v>65.599999999999994</v>
      </c>
    </row>
    <row r="74" spans="1:30" x14ac:dyDescent="0.35">
      <c r="A74" s="1">
        <v>72</v>
      </c>
      <c r="B74">
        <v>1952</v>
      </c>
      <c r="C74">
        <v>3846986</v>
      </c>
      <c r="D74">
        <v>113.9</v>
      </c>
      <c r="E74">
        <v>25.1</v>
      </c>
      <c r="F74">
        <v>141.1</v>
      </c>
      <c r="G74">
        <v>39.433358915323609</v>
      </c>
      <c r="H74">
        <v>277.74136607828092</v>
      </c>
      <c r="I74">
        <v>31.2</v>
      </c>
      <c r="J74">
        <v>109413</v>
      </c>
      <c r="K74">
        <v>62762</v>
      </c>
      <c r="L74">
        <v>46651</v>
      </c>
      <c r="M74">
        <v>1971262</v>
      </c>
      <c r="N74">
        <v>1875724</v>
      </c>
      <c r="O74">
        <f t="shared" si="0"/>
        <v>51.241725340305365</v>
      </c>
      <c r="P74">
        <v>3797968</v>
      </c>
      <c r="Q74">
        <f>(P74/T74)*100</f>
        <v>98.006057950505237</v>
      </c>
      <c r="R74">
        <v>1973243</v>
      </c>
      <c r="S74">
        <v>1901995</v>
      </c>
      <c r="T74">
        <v>3875238</v>
      </c>
      <c r="U74">
        <v>4.4122000000000003</v>
      </c>
      <c r="V74">
        <v>3.5268000000000002</v>
      </c>
      <c r="W74" t="s">
        <v>9</v>
      </c>
      <c r="X74" t="s">
        <v>8</v>
      </c>
      <c r="Y74">
        <v>67080</v>
      </c>
      <c r="Z74">
        <v>87065</v>
      </c>
      <c r="AA74">
        <v>1</v>
      </c>
      <c r="AB74">
        <v>68.599999999999994</v>
      </c>
      <c r="AC74">
        <v>71.599999999999994</v>
      </c>
      <c r="AD74">
        <v>65.8</v>
      </c>
    </row>
    <row r="75" spans="1:30" x14ac:dyDescent="0.35">
      <c r="A75" s="1">
        <v>73</v>
      </c>
      <c r="B75">
        <v>1953</v>
      </c>
      <c r="C75">
        <v>3902120</v>
      </c>
      <c r="D75">
        <v>115.2</v>
      </c>
      <c r="E75">
        <v>25.1</v>
      </c>
      <c r="F75">
        <v>130</v>
      </c>
      <c r="G75">
        <v>38.04900227330134</v>
      </c>
      <c r="H75">
        <v>275.36499115938369</v>
      </c>
      <c r="I75">
        <v>29.9</v>
      </c>
      <c r="J75">
        <v>108405</v>
      </c>
      <c r="K75">
        <v>62337</v>
      </c>
      <c r="L75">
        <v>46028</v>
      </c>
      <c r="M75">
        <v>2001798</v>
      </c>
      <c r="N75">
        <v>1900322</v>
      </c>
      <c r="O75">
        <f t="shared" si="0"/>
        <v>51.300267546871957</v>
      </c>
      <c r="P75">
        <v>3853600</v>
      </c>
      <c r="Q75">
        <f>(P75/T75)*100</f>
        <v>98.013382479065086</v>
      </c>
      <c r="R75">
        <v>2002222</v>
      </c>
      <c r="S75">
        <v>1929486</v>
      </c>
      <c r="T75">
        <v>3931708</v>
      </c>
      <c r="U75">
        <v>4.3075000000000001</v>
      </c>
      <c r="V75">
        <v>3.3371</v>
      </c>
      <c r="W75" t="s">
        <v>5</v>
      </c>
      <c r="X75" t="s">
        <v>7</v>
      </c>
      <c r="Y75">
        <v>64390</v>
      </c>
      <c r="Z75">
        <v>86246</v>
      </c>
      <c r="AA75">
        <v>1</v>
      </c>
      <c r="AB75">
        <v>68.8</v>
      </c>
      <c r="AC75">
        <v>72</v>
      </c>
      <c r="AD75">
        <v>66</v>
      </c>
    </row>
    <row r="76" spans="1:30" x14ac:dyDescent="0.35">
      <c r="A76" s="1">
        <v>74</v>
      </c>
      <c r="B76">
        <v>1954</v>
      </c>
      <c r="C76">
        <v>4017362</v>
      </c>
      <c r="D76">
        <v>118.1</v>
      </c>
      <c r="E76">
        <v>25.3</v>
      </c>
      <c r="F76">
        <v>118.3</v>
      </c>
      <c r="G76">
        <v>38.463276836158187</v>
      </c>
      <c r="H76">
        <v>272.64603291574548</v>
      </c>
      <c r="I76">
        <v>28.5</v>
      </c>
      <c r="J76">
        <v>106791</v>
      </c>
      <c r="K76">
        <v>61369</v>
      </c>
      <c r="L76">
        <v>45422</v>
      </c>
      <c r="M76">
        <v>2059068</v>
      </c>
      <c r="N76">
        <v>1958294</v>
      </c>
      <c r="O76">
        <f t="shared" si="0"/>
        <v>51.25423101029979</v>
      </c>
      <c r="P76">
        <v>3980666</v>
      </c>
      <c r="Q76">
        <f>(P76/T76)*100</f>
        <v>98.046902420983855</v>
      </c>
      <c r="R76">
        <v>2069107</v>
      </c>
      <c r="S76">
        <v>1990854</v>
      </c>
      <c r="T76">
        <v>4059961</v>
      </c>
      <c r="U76">
        <v>4.2801999999999998</v>
      </c>
      <c r="V76">
        <v>3.4167000000000001</v>
      </c>
      <c r="W76" t="s">
        <v>5</v>
      </c>
      <c r="X76" t="s">
        <v>10</v>
      </c>
      <c r="Y76">
        <v>68021</v>
      </c>
      <c r="Z76">
        <v>88563</v>
      </c>
      <c r="AA76">
        <v>1</v>
      </c>
      <c r="AB76">
        <v>69.599999999999994</v>
      </c>
      <c r="AC76">
        <v>72.8</v>
      </c>
      <c r="AD76">
        <v>66.7</v>
      </c>
    </row>
    <row r="77" spans="1:30" x14ac:dyDescent="0.35">
      <c r="A77" s="1">
        <v>75</v>
      </c>
      <c r="B77">
        <v>1955</v>
      </c>
      <c r="C77">
        <v>4047295</v>
      </c>
      <c r="D77">
        <v>118.3</v>
      </c>
      <c r="E77">
        <v>25</v>
      </c>
      <c r="F77">
        <v>113.4</v>
      </c>
      <c r="G77">
        <v>36.985111056870878</v>
      </c>
      <c r="H77">
        <v>267.99780327068578</v>
      </c>
      <c r="I77">
        <v>27.8</v>
      </c>
      <c r="J77">
        <v>106903</v>
      </c>
      <c r="K77">
        <v>61416</v>
      </c>
      <c r="L77">
        <v>45487</v>
      </c>
      <c r="M77">
        <v>2073719</v>
      </c>
      <c r="N77">
        <v>1973576</v>
      </c>
      <c r="O77">
        <f t="shared" si="0"/>
        <v>51.237159633780095</v>
      </c>
      <c r="P77">
        <v>4015166</v>
      </c>
      <c r="Q77">
        <f>(P77/T77)*100</f>
        <v>98.043604280628998</v>
      </c>
      <c r="R77">
        <v>2090372</v>
      </c>
      <c r="S77">
        <v>2004914</v>
      </c>
      <c r="T77">
        <v>4095286</v>
      </c>
      <c r="U77">
        <v>4.2270000000000003</v>
      </c>
      <c r="V77">
        <v>3.1509</v>
      </c>
      <c r="W77" t="s">
        <v>5</v>
      </c>
      <c r="X77" t="s">
        <v>10</v>
      </c>
      <c r="Y77">
        <v>63173</v>
      </c>
      <c r="Z77">
        <v>88355</v>
      </c>
      <c r="AA77">
        <v>1</v>
      </c>
      <c r="AB77">
        <v>69.599999999999994</v>
      </c>
      <c r="AC77">
        <v>72.8</v>
      </c>
      <c r="AD77">
        <v>66.7</v>
      </c>
    </row>
    <row r="78" spans="1:30" x14ac:dyDescent="0.35">
      <c r="A78" s="1">
        <v>76</v>
      </c>
      <c r="B78">
        <v>1956</v>
      </c>
      <c r="C78">
        <v>4163090</v>
      </c>
      <c r="D78">
        <v>121.2</v>
      </c>
      <c r="E78">
        <v>25.2</v>
      </c>
      <c r="F78">
        <v>110.2</v>
      </c>
      <c r="G78">
        <v>36.208076009501191</v>
      </c>
      <c r="H78">
        <v>260.41852731591439</v>
      </c>
      <c r="I78">
        <v>27.3</v>
      </c>
      <c r="J78">
        <v>108183</v>
      </c>
      <c r="K78">
        <v>62394</v>
      </c>
      <c r="L78">
        <v>45789</v>
      </c>
      <c r="M78">
        <v>2133588</v>
      </c>
      <c r="N78">
        <v>2029502</v>
      </c>
      <c r="O78">
        <f t="shared" si="0"/>
        <v>51.250105090209445</v>
      </c>
      <c r="P78">
        <v>4123005</v>
      </c>
      <c r="Q78">
        <f>(P78/T78)*100</f>
        <v>98.033273731965039</v>
      </c>
      <c r="R78">
        <v>2146206</v>
      </c>
      <c r="S78">
        <v>2059514</v>
      </c>
      <c r="T78">
        <v>4205720</v>
      </c>
      <c r="U78">
        <v>4.2256999999999998</v>
      </c>
      <c r="V78">
        <v>2.9979</v>
      </c>
      <c r="W78" t="s">
        <v>5</v>
      </c>
      <c r="X78" t="s">
        <v>10</v>
      </c>
      <c r="Y78">
        <v>61743</v>
      </c>
      <c r="Z78">
        <v>90693</v>
      </c>
      <c r="AA78">
        <v>1</v>
      </c>
      <c r="AB78">
        <v>69.7</v>
      </c>
      <c r="AC78">
        <v>72.900000000000006</v>
      </c>
      <c r="AD78">
        <v>66.7</v>
      </c>
    </row>
    <row r="79" spans="1:30" x14ac:dyDescent="0.35">
      <c r="A79" s="1">
        <v>77</v>
      </c>
      <c r="B79">
        <v>1957</v>
      </c>
      <c r="C79">
        <v>4254784</v>
      </c>
      <c r="D79">
        <v>122.9</v>
      </c>
      <c r="E79">
        <v>25.3</v>
      </c>
      <c r="F79">
        <v>111.8</v>
      </c>
      <c r="G79">
        <v>35.785813953488372</v>
      </c>
      <c r="H79">
        <v>250.06372093023251</v>
      </c>
      <c r="I79">
        <v>27.4</v>
      </c>
      <c r="J79">
        <v>112094</v>
      </c>
      <c r="K79">
        <v>64366</v>
      </c>
      <c r="L79">
        <v>47728</v>
      </c>
      <c r="M79">
        <v>2179960</v>
      </c>
      <c r="N79">
        <v>2074824</v>
      </c>
      <c r="O79">
        <f t="shared" si="0"/>
        <v>51.235503376904681</v>
      </c>
      <c r="P79">
        <v>4202087</v>
      </c>
      <c r="Q79">
        <f>(P79/T79)*100</f>
        <v>98.017690403935546</v>
      </c>
      <c r="R79">
        <v>2188911</v>
      </c>
      <c r="S79">
        <v>2098159</v>
      </c>
      <c r="T79">
        <v>4287070</v>
      </c>
      <c r="U79">
        <v>4.2385000000000002</v>
      </c>
      <c r="V79">
        <v>2.9121999999999999</v>
      </c>
      <c r="W79" t="s">
        <v>5</v>
      </c>
      <c r="X79" t="s">
        <v>10</v>
      </c>
      <c r="Y79">
        <v>61102</v>
      </c>
      <c r="Z79">
        <v>92777</v>
      </c>
      <c r="AA79">
        <v>1</v>
      </c>
      <c r="AB79">
        <v>69.5</v>
      </c>
      <c r="AC79">
        <v>72.7</v>
      </c>
      <c r="AD79">
        <v>66.400000000000006</v>
      </c>
    </row>
    <row r="80" spans="1:30" x14ac:dyDescent="0.35">
      <c r="A80" s="1">
        <v>78</v>
      </c>
      <c r="B80">
        <v>1958</v>
      </c>
      <c r="C80">
        <v>4203812</v>
      </c>
      <c r="D80">
        <v>120.2</v>
      </c>
      <c r="E80">
        <v>24.6</v>
      </c>
      <c r="F80">
        <v>111.7</v>
      </c>
      <c r="G80">
        <v>34.493641073951963</v>
      </c>
      <c r="H80">
        <v>238.1434291097504</v>
      </c>
      <c r="I80">
        <v>27.4</v>
      </c>
      <c r="J80">
        <v>113789</v>
      </c>
      <c r="K80">
        <v>65082</v>
      </c>
      <c r="L80">
        <v>48707</v>
      </c>
      <c r="M80">
        <v>2152546</v>
      </c>
      <c r="N80">
        <v>2051266</v>
      </c>
      <c r="O80">
        <f t="shared" si="0"/>
        <v>51.204620948795998</v>
      </c>
      <c r="P80">
        <v>4134028</v>
      </c>
      <c r="Q80">
        <f>(P80/T80)*100</f>
        <v>97.952907101277034</v>
      </c>
      <c r="R80">
        <v>2154748</v>
      </c>
      <c r="S80">
        <v>2065676</v>
      </c>
      <c r="T80">
        <v>4220424</v>
      </c>
      <c r="U80">
        <v>4.2050999999999998</v>
      </c>
      <c r="V80">
        <v>2.7033999999999998</v>
      </c>
      <c r="W80" t="s">
        <v>5</v>
      </c>
      <c r="X80" t="s">
        <v>10</v>
      </c>
      <c r="Y80">
        <v>55846</v>
      </c>
      <c r="Z80">
        <v>90614</v>
      </c>
      <c r="AA80">
        <v>1</v>
      </c>
      <c r="AB80">
        <v>69.599999999999994</v>
      </c>
      <c r="AC80">
        <v>72.900000000000006</v>
      </c>
      <c r="AD80">
        <v>66.599999999999994</v>
      </c>
    </row>
    <row r="81" spans="1:30" x14ac:dyDescent="0.35">
      <c r="A81" s="1">
        <v>79</v>
      </c>
      <c r="B81">
        <v>1959</v>
      </c>
      <c r="C81">
        <v>4244796</v>
      </c>
      <c r="D81">
        <v>118.8</v>
      </c>
      <c r="E81">
        <v>24</v>
      </c>
      <c r="F81">
        <v>106.9</v>
      </c>
      <c r="G81">
        <v>32.921723446780483</v>
      </c>
      <c r="H81">
        <v>233.1789325093597</v>
      </c>
      <c r="I81">
        <v>26.7</v>
      </c>
      <c r="J81">
        <v>112008</v>
      </c>
      <c r="K81">
        <v>64291</v>
      </c>
      <c r="L81">
        <v>47717</v>
      </c>
      <c r="M81">
        <v>2173638</v>
      </c>
      <c r="N81">
        <v>2071158</v>
      </c>
      <c r="O81">
        <f t="shared" si="0"/>
        <v>51.207125148063646</v>
      </c>
      <c r="P81">
        <v>4157980</v>
      </c>
      <c r="Q81">
        <f>(P81/T81)*100</f>
        <v>97.91908001779413</v>
      </c>
      <c r="R81">
        <v>2167439</v>
      </c>
      <c r="S81">
        <v>2078904</v>
      </c>
      <c r="T81">
        <v>4246343</v>
      </c>
      <c r="U81">
        <v>3.9348999999999998</v>
      </c>
      <c r="V81">
        <v>2.6217999999999999</v>
      </c>
      <c r="W81" t="s">
        <v>5</v>
      </c>
      <c r="X81" t="s">
        <v>10</v>
      </c>
      <c r="Y81">
        <v>54497</v>
      </c>
      <c r="Z81">
        <v>85249</v>
      </c>
      <c r="AA81">
        <v>1</v>
      </c>
      <c r="AB81">
        <v>69.900000000000006</v>
      </c>
      <c r="AC81">
        <v>73.2</v>
      </c>
      <c r="AD81">
        <v>66.8</v>
      </c>
    </row>
    <row r="82" spans="1:30" x14ac:dyDescent="0.35">
      <c r="A82" s="1">
        <v>80</v>
      </c>
      <c r="B82">
        <v>1960</v>
      </c>
      <c r="C82">
        <v>4257850</v>
      </c>
      <c r="D82">
        <v>118</v>
      </c>
      <c r="E82">
        <v>23.7</v>
      </c>
      <c r="F82">
        <v>109.1</v>
      </c>
      <c r="G82">
        <v>32.269102951019882</v>
      </c>
      <c r="H82">
        <v>226.19819862137001</v>
      </c>
      <c r="I82">
        <v>26.4</v>
      </c>
      <c r="J82">
        <v>110873</v>
      </c>
      <c r="K82">
        <v>63936</v>
      </c>
      <c r="L82">
        <v>46937</v>
      </c>
      <c r="M82">
        <v>2179708</v>
      </c>
      <c r="N82">
        <v>2078142</v>
      </c>
      <c r="O82">
        <f t="shared" si="0"/>
        <v>51.192691146940362</v>
      </c>
      <c r="P82">
        <v>4154261</v>
      </c>
      <c r="Q82">
        <f>(P82/T82)*100</f>
        <v>97.853321574712936</v>
      </c>
      <c r="R82">
        <v>2165620</v>
      </c>
      <c r="S82">
        <v>2079776</v>
      </c>
      <c r="T82">
        <v>4245396</v>
      </c>
      <c r="U82">
        <v>3.968</v>
      </c>
      <c r="V82">
        <v>2.4750999999999999</v>
      </c>
      <c r="W82" t="s">
        <v>5</v>
      </c>
      <c r="X82" t="s">
        <v>11</v>
      </c>
      <c r="Y82">
        <v>51476</v>
      </c>
      <c r="Z82">
        <v>85921</v>
      </c>
      <c r="AA82">
        <v>1</v>
      </c>
      <c r="AB82">
        <v>69.7</v>
      </c>
      <c r="AC82">
        <v>73.099999999999994</v>
      </c>
      <c r="AD82">
        <v>66.599999999999994</v>
      </c>
    </row>
    <row r="83" spans="1:30" x14ac:dyDescent="0.35">
      <c r="A83" s="1">
        <v>81</v>
      </c>
      <c r="B83">
        <v>1961</v>
      </c>
      <c r="C83">
        <v>4268326</v>
      </c>
      <c r="D83">
        <v>117.1</v>
      </c>
      <c r="E83">
        <v>23.3</v>
      </c>
      <c r="F83">
        <v>101.7</v>
      </c>
      <c r="G83">
        <v>31.5430452125728</v>
      </c>
      <c r="H83">
        <v>221.58851034339929</v>
      </c>
      <c r="I83">
        <v>25.4</v>
      </c>
      <c r="J83">
        <v>107956</v>
      </c>
      <c r="K83">
        <v>62120</v>
      </c>
      <c r="L83">
        <v>45836</v>
      </c>
      <c r="M83">
        <v>2186274</v>
      </c>
      <c r="N83">
        <v>2082052</v>
      </c>
      <c r="O83">
        <f t="shared" si="0"/>
        <v>51.220876755899148</v>
      </c>
      <c r="P83">
        <v>4142690</v>
      </c>
      <c r="Q83">
        <f>(P83/T83)*100</f>
        <v>97.822293439725101</v>
      </c>
      <c r="R83">
        <v>2157517</v>
      </c>
      <c r="S83">
        <v>2077397</v>
      </c>
      <c r="T83">
        <v>4234914</v>
      </c>
      <c r="U83">
        <v>4.0311000000000003</v>
      </c>
      <c r="V83">
        <v>2.2957000000000001</v>
      </c>
      <c r="W83" t="s">
        <v>5</v>
      </c>
      <c r="X83" t="s">
        <v>10</v>
      </c>
      <c r="Y83">
        <v>47686</v>
      </c>
      <c r="Z83">
        <v>86950</v>
      </c>
      <c r="AA83">
        <v>1</v>
      </c>
      <c r="AB83">
        <v>70.2</v>
      </c>
      <c r="AC83">
        <v>73.599999999999994</v>
      </c>
      <c r="AD83">
        <v>67.099999999999994</v>
      </c>
    </row>
    <row r="84" spans="1:30" x14ac:dyDescent="0.35">
      <c r="A84" s="1">
        <v>82</v>
      </c>
      <c r="B84">
        <v>1962</v>
      </c>
      <c r="C84">
        <v>4167362</v>
      </c>
      <c r="D84">
        <v>112</v>
      </c>
      <c r="E84">
        <v>22.4</v>
      </c>
      <c r="F84">
        <v>99.2</v>
      </c>
      <c r="G84">
        <v>31.460909803372012</v>
      </c>
      <c r="H84">
        <v>218.08352622114421</v>
      </c>
      <c r="I84">
        <v>25.2</v>
      </c>
      <c r="J84">
        <v>105479</v>
      </c>
      <c r="K84">
        <v>60939</v>
      </c>
      <c r="L84">
        <v>44540</v>
      </c>
      <c r="M84">
        <v>2132466</v>
      </c>
      <c r="N84">
        <v>2034896</v>
      </c>
      <c r="O84">
        <f t="shared" si="0"/>
        <v>51.170644642822005</v>
      </c>
      <c r="P84">
        <v>4035375</v>
      </c>
      <c r="Q84">
        <f>(P84/T84)*100</f>
        <v>97.729211828422351</v>
      </c>
      <c r="R84">
        <v>2102119</v>
      </c>
      <c r="S84">
        <v>2027020</v>
      </c>
      <c r="T84">
        <v>4129139</v>
      </c>
      <c r="U84">
        <v>4.0460000000000003</v>
      </c>
      <c r="V84">
        <v>2.2730999999999999</v>
      </c>
      <c r="W84" t="s">
        <v>12</v>
      </c>
      <c r="X84" t="s">
        <v>10</v>
      </c>
      <c r="Y84">
        <v>46074</v>
      </c>
      <c r="Z84">
        <v>85035</v>
      </c>
      <c r="AA84">
        <v>1</v>
      </c>
      <c r="AB84">
        <v>70.099999999999994</v>
      </c>
      <c r="AC84">
        <v>73.5</v>
      </c>
      <c r="AD84">
        <v>66.900000000000006</v>
      </c>
    </row>
    <row r="85" spans="1:30" x14ac:dyDescent="0.35">
      <c r="A85" s="1">
        <v>83</v>
      </c>
      <c r="B85">
        <v>1963</v>
      </c>
      <c r="C85">
        <v>4098020</v>
      </c>
      <c r="D85">
        <v>108.3</v>
      </c>
      <c r="E85">
        <v>21.7</v>
      </c>
      <c r="F85">
        <v>101.5</v>
      </c>
      <c r="G85">
        <v>34.116231741182332</v>
      </c>
      <c r="H85">
        <v>218.0516444526869</v>
      </c>
      <c r="I85">
        <v>25.1</v>
      </c>
      <c r="J85">
        <v>103390</v>
      </c>
      <c r="K85">
        <v>59734</v>
      </c>
      <c r="L85">
        <v>43656</v>
      </c>
      <c r="M85">
        <v>2101632</v>
      </c>
      <c r="N85">
        <v>1996388</v>
      </c>
      <c r="O85">
        <f t="shared" si="0"/>
        <v>51.284083533023264</v>
      </c>
      <c r="P85">
        <v>3958585</v>
      </c>
      <c r="Q85">
        <f>(P85/T85)*100</f>
        <v>97.670756076564729</v>
      </c>
      <c r="R85">
        <v>2064779</v>
      </c>
      <c r="S85">
        <v>1988210</v>
      </c>
      <c r="T85">
        <v>4052989</v>
      </c>
      <c r="U85">
        <v>4.0575000000000001</v>
      </c>
      <c r="V85">
        <v>2.8187000000000002</v>
      </c>
      <c r="W85" t="s">
        <v>12</v>
      </c>
      <c r="X85" t="s">
        <v>10</v>
      </c>
      <c r="Y85">
        <v>56037</v>
      </c>
      <c r="Z85">
        <v>83772</v>
      </c>
      <c r="AA85">
        <v>1</v>
      </c>
      <c r="AB85">
        <v>69.900000000000006</v>
      </c>
      <c r="AC85">
        <v>73.400000000000006</v>
      </c>
      <c r="AD85">
        <v>66.599999999999994</v>
      </c>
    </row>
    <row r="86" spans="1:30" x14ac:dyDescent="0.35">
      <c r="A86" s="1">
        <v>84</v>
      </c>
      <c r="B86">
        <v>1964</v>
      </c>
      <c r="C86">
        <v>4027490</v>
      </c>
      <c r="D86">
        <v>104.7</v>
      </c>
      <c r="E86">
        <v>21.1</v>
      </c>
      <c r="F86">
        <v>98.5</v>
      </c>
      <c r="G86">
        <v>33.987918033316028</v>
      </c>
      <c r="H86">
        <v>216.75460398411909</v>
      </c>
      <c r="I86">
        <v>24.8</v>
      </c>
      <c r="J86">
        <v>99783</v>
      </c>
      <c r="K86">
        <v>57348</v>
      </c>
      <c r="L86">
        <v>42435</v>
      </c>
      <c r="M86">
        <v>2060162</v>
      </c>
      <c r="N86">
        <v>1967328</v>
      </c>
      <c r="O86">
        <f t="shared" si="0"/>
        <v>51.152504413418775</v>
      </c>
      <c r="P86">
        <v>3887553</v>
      </c>
      <c r="Q86">
        <f>(P86/T86)*100</f>
        <v>97.569467886592562</v>
      </c>
      <c r="R86">
        <v>2026992</v>
      </c>
      <c r="S86">
        <v>1957403</v>
      </c>
      <c r="T86">
        <v>3984395</v>
      </c>
      <c r="U86">
        <v>4.0758000000000001</v>
      </c>
      <c r="V86">
        <v>2.7726000000000002</v>
      </c>
      <c r="W86" t="s">
        <v>12</v>
      </c>
      <c r="X86" t="s">
        <v>10</v>
      </c>
      <c r="Y86">
        <v>54269</v>
      </c>
      <c r="Z86">
        <v>82617</v>
      </c>
      <c r="AA86">
        <v>1</v>
      </c>
      <c r="AB86">
        <v>70.2</v>
      </c>
      <c r="AC86">
        <v>73.7</v>
      </c>
      <c r="AD86">
        <v>66.8</v>
      </c>
    </row>
    <row r="87" spans="1:30" x14ac:dyDescent="0.35">
      <c r="A87" s="1">
        <v>85</v>
      </c>
      <c r="B87">
        <v>1965</v>
      </c>
      <c r="C87">
        <v>3760358</v>
      </c>
      <c r="D87">
        <v>96.3</v>
      </c>
      <c r="E87">
        <v>19.399999999999999</v>
      </c>
      <c r="F87">
        <v>95.9</v>
      </c>
      <c r="G87">
        <v>37.567965603275013</v>
      </c>
      <c r="H87">
        <v>215.5818674711291</v>
      </c>
      <c r="I87">
        <v>24.1</v>
      </c>
      <c r="J87">
        <v>92866</v>
      </c>
      <c r="K87">
        <v>53419</v>
      </c>
      <c r="L87">
        <v>39447</v>
      </c>
      <c r="M87">
        <v>1927054</v>
      </c>
      <c r="N87">
        <v>1833304</v>
      </c>
      <c r="O87">
        <f t="shared" si="0"/>
        <v>51.246556843789868</v>
      </c>
      <c r="P87">
        <v>3625307</v>
      </c>
      <c r="Q87">
        <f>(P87/T87)*100</f>
        <v>97.404818026936269</v>
      </c>
      <c r="R87">
        <v>1894397</v>
      </c>
      <c r="S87">
        <v>1827500</v>
      </c>
      <c r="T87">
        <v>3721897</v>
      </c>
      <c r="U87">
        <v>4.2754000000000003</v>
      </c>
      <c r="V87">
        <v>3.2978999999999998</v>
      </c>
      <c r="W87" t="s">
        <v>12</v>
      </c>
      <c r="X87" t="s">
        <v>10</v>
      </c>
      <c r="Y87">
        <v>60268</v>
      </c>
      <c r="Z87">
        <v>81001</v>
      </c>
      <c r="AA87">
        <v>1</v>
      </c>
      <c r="AB87">
        <v>70.2</v>
      </c>
      <c r="AC87">
        <v>73.8</v>
      </c>
      <c r="AD87">
        <v>66.8</v>
      </c>
    </row>
    <row r="88" spans="1:30" x14ac:dyDescent="0.35">
      <c r="A88" s="1">
        <v>86</v>
      </c>
      <c r="B88">
        <v>1966</v>
      </c>
      <c r="C88">
        <v>3606274</v>
      </c>
      <c r="D88">
        <v>90.8</v>
      </c>
      <c r="E88">
        <v>18.399999999999999</v>
      </c>
      <c r="F88">
        <v>96.4</v>
      </c>
      <c r="G88">
        <v>37.962450995126822</v>
      </c>
      <c r="H88">
        <v>214.20474428731711</v>
      </c>
      <c r="I88">
        <v>23.4</v>
      </c>
      <c r="J88">
        <v>85516</v>
      </c>
      <c r="K88">
        <v>49173</v>
      </c>
      <c r="L88">
        <v>36343</v>
      </c>
      <c r="M88">
        <v>1845862</v>
      </c>
      <c r="N88">
        <v>1760412</v>
      </c>
      <c r="O88">
        <f t="shared" si="0"/>
        <v>51.184740815589727</v>
      </c>
      <c r="P88">
        <v>3475638</v>
      </c>
      <c r="Q88">
        <f>(P88/T88)*100</f>
        <v>97.262432194643637</v>
      </c>
      <c r="R88">
        <v>1817640</v>
      </c>
      <c r="S88">
        <v>1755824</v>
      </c>
      <c r="T88">
        <v>3573464</v>
      </c>
      <c r="U88">
        <v>4.4005999999999998</v>
      </c>
      <c r="V88">
        <v>3.2416999999999998</v>
      </c>
      <c r="W88" t="s">
        <v>12</v>
      </c>
      <c r="X88" t="s">
        <v>10</v>
      </c>
      <c r="Y88">
        <v>56916</v>
      </c>
      <c r="Z88">
        <v>79987</v>
      </c>
      <c r="AA88">
        <v>1</v>
      </c>
      <c r="AB88">
        <v>70.2</v>
      </c>
      <c r="AC88">
        <v>73.900000000000006</v>
      </c>
      <c r="AD88">
        <v>66.7</v>
      </c>
    </row>
    <row r="89" spans="1:30" x14ac:dyDescent="0.35">
      <c r="A89" s="1">
        <v>87</v>
      </c>
      <c r="B89">
        <v>1967</v>
      </c>
      <c r="C89">
        <v>3520959</v>
      </c>
      <c r="D89">
        <v>87.2</v>
      </c>
      <c r="E89">
        <v>17.8</v>
      </c>
      <c r="F89">
        <v>89.4</v>
      </c>
      <c r="G89">
        <v>38.298372687668333</v>
      </c>
      <c r="H89">
        <v>213.9641501079677</v>
      </c>
      <c r="I89">
        <v>22.3</v>
      </c>
      <c r="J89">
        <v>79028</v>
      </c>
      <c r="K89">
        <v>45442</v>
      </c>
      <c r="L89">
        <v>33586</v>
      </c>
      <c r="M89">
        <v>1803388</v>
      </c>
      <c r="N89">
        <v>1717571</v>
      </c>
      <c r="O89">
        <f t="shared" si="0"/>
        <v>51.218659461811399</v>
      </c>
      <c r="P89">
        <v>3394836</v>
      </c>
      <c r="Q89">
        <f>(P89/T89)*100</f>
        <v>97.099793663696417</v>
      </c>
      <c r="R89">
        <v>1779343</v>
      </c>
      <c r="S89">
        <v>1716891</v>
      </c>
      <c r="T89">
        <v>3496234</v>
      </c>
      <c r="U89">
        <v>4.6313000000000004</v>
      </c>
      <c r="V89">
        <v>3.0541999999999998</v>
      </c>
      <c r="W89" t="s">
        <v>12</v>
      </c>
      <c r="X89" t="s">
        <v>10</v>
      </c>
      <c r="Y89">
        <v>52436</v>
      </c>
      <c r="Z89">
        <v>82411</v>
      </c>
      <c r="AA89">
        <v>1</v>
      </c>
      <c r="AB89">
        <v>70.5</v>
      </c>
      <c r="AC89">
        <v>74.3</v>
      </c>
      <c r="AD89">
        <v>67</v>
      </c>
    </row>
    <row r="90" spans="1:30" x14ac:dyDescent="0.35">
      <c r="A90" s="1">
        <v>88</v>
      </c>
      <c r="B90">
        <v>1968</v>
      </c>
      <c r="C90">
        <v>3501564</v>
      </c>
      <c r="D90">
        <v>85.2</v>
      </c>
      <c r="E90">
        <v>17.600000000000001</v>
      </c>
      <c r="F90">
        <v>89.6</v>
      </c>
      <c r="G90">
        <v>37.556931702519208</v>
      </c>
      <c r="H90">
        <v>216.14855533127479</v>
      </c>
      <c r="I90">
        <v>22.1</v>
      </c>
      <c r="J90">
        <v>76263</v>
      </c>
      <c r="K90">
        <v>44026</v>
      </c>
      <c r="L90">
        <v>32237</v>
      </c>
      <c r="M90">
        <v>1796326</v>
      </c>
      <c r="N90">
        <v>1705238</v>
      </c>
      <c r="O90">
        <f t="shared" si="0"/>
        <v>51.300675926528825</v>
      </c>
      <c r="P90">
        <v>3378363</v>
      </c>
      <c r="Q90">
        <f>(P90/T90)*100</f>
        <v>96.936582224980611</v>
      </c>
      <c r="R90">
        <v>1775378</v>
      </c>
      <c r="S90">
        <v>1709749</v>
      </c>
      <c r="T90">
        <v>3485127</v>
      </c>
      <c r="U90">
        <v>4.6170999999999998</v>
      </c>
      <c r="V90">
        <v>2.8973</v>
      </c>
      <c r="W90" t="s">
        <v>12</v>
      </c>
      <c r="X90" t="s">
        <v>10</v>
      </c>
      <c r="Y90">
        <v>49535</v>
      </c>
      <c r="Z90">
        <v>81973</v>
      </c>
      <c r="AA90">
        <v>1</v>
      </c>
      <c r="AB90">
        <v>70.2</v>
      </c>
      <c r="AC90">
        <v>74.099999999999994</v>
      </c>
      <c r="AD90">
        <v>66.599999999999994</v>
      </c>
    </row>
    <row r="91" spans="1:30" x14ac:dyDescent="0.35">
      <c r="A91" s="1">
        <v>89</v>
      </c>
      <c r="B91">
        <v>1969</v>
      </c>
      <c r="C91">
        <v>3600206</v>
      </c>
      <c r="D91">
        <v>86.1</v>
      </c>
      <c r="E91">
        <v>17.899999999999999</v>
      </c>
      <c r="F91">
        <v>88</v>
      </c>
      <c r="G91">
        <v>36.161541867326477</v>
      </c>
      <c r="H91">
        <v>212.1267505248311</v>
      </c>
      <c r="I91">
        <v>21.4</v>
      </c>
      <c r="J91">
        <v>75073</v>
      </c>
      <c r="K91">
        <v>43280</v>
      </c>
      <c r="L91">
        <v>31793</v>
      </c>
      <c r="M91">
        <v>1846572</v>
      </c>
      <c r="N91">
        <v>1753634</v>
      </c>
      <c r="O91">
        <f t="shared" si="0"/>
        <v>51.290731697019567</v>
      </c>
      <c r="P91">
        <v>3475190</v>
      </c>
      <c r="Q91">
        <f>(P91/T91)*100</f>
        <v>96.754704457684042</v>
      </c>
      <c r="R91">
        <v>1828969</v>
      </c>
      <c r="S91">
        <v>1762784</v>
      </c>
      <c r="T91">
        <v>3591753</v>
      </c>
      <c r="U91">
        <v>4.6558000000000002</v>
      </c>
      <c r="V91">
        <v>2.5543999999999998</v>
      </c>
      <c r="W91" t="s">
        <v>12</v>
      </c>
      <c r="X91" t="s">
        <v>10</v>
      </c>
      <c r="Y91">
        <v>45027</v>
      </c>
      <c r="Z91">
        <v>85162</v>
      </c>
      <c r="AA91">
        <v>1</v>
      </c>
      <c r="AB91">
        <v>70.5</v>
      </c>
      <c r="AC91">
        <v>74.400000000000006</v>
      </c>
      <c r="AD91">
        <v>66.8</v>
      </c>
    </row>
    <row r="92" spans="1:30" x14ac:dyDescent="0.35">
      <c r="A92" s="1">
        <v>90</v>
      </c>
      <c r="B92">
        <v>1970</v>
      </c>
      <c r="C92">
        <v>3731386</v>
      </c>
      <c r="D92">
        <v>87.9</v>
      </c>
      <c r="E92">
        <v>18.399999999999999</v>
      </c>
      <c r="F92">
        <v>84.5</v>
      </c>
      <c r="G92">
        <v>35.220424796576928</v>
      </c>
      <c r="H92">
        <v>209.9246767823002</v>
      </c>
      <c r="I92">
        <v>20.9</v>
      </c>
      <c r="J92">
        <v>74667</v>
      </c>
      <c r="K92">
        <v>42847</v>
      </c>
      <c r="L92">
        <v>31820</v>
      </c>
      <c r="M92">
        <v>1915378</v>
      </c>
      <c r="N92">
        <v>1816008</v>
      </c>
      <c r="O92">
        <f t="shared" si="0"/>
        <v>51.331542756498528</v>
      </c>
      <c r="P92">
        <v>3606373</v>
      </c>
      <c r="Q92">
        <f>(P92/T92)*100</f>
        <v>96.517564326344427</v>
      </c>
      <c r="R92">
        <v>1904604</v>
      </c>
      <c r="S92">
        <v>1831890</v>
      </c>
      <c r="T92">
        <v>3736494</v>
      </c>
      <c r="U92">
        <v>4.4766000000000004</v>
      </c>
      <c r="V92">
        <v>2.5194000000000001</v>
      </c>
      <c r="W92" t="s">
        <v>13</v>
      </c>
      <c r="X92" t="s">
        <v>10</v>
      </c>
      <c r="Y92">
        <v>46151</v>
      </c>
      <c r="Z92">
        <v>85270</v>
      </c>
      <c r="AA92">
        <v>1</v>
      </c>
      <c r="AB92">
        <v>70.8</v>
      </c>
      <c r="AC92">
        <v>74.7</v>
      </c>
      <c r="AD92">
        <v>67.099999999999994</v>
      </c>
    </row>
    <row r="93" spans="1:30" x14ac:dyDescent="0.35">
      <c r="A93" s="1">
        <v>91</v>
      </c>
      <c r="B93">
        <v>1971</v>
      </c>
      <c r="C93">
        <v>3555970</v>
      </c>
      <c r="D93">
        <v>81.599999999999994</v>
      </c>
      <c r="E93">
        <v>17.2</v>
      </c>
      <c r="F93">
        <v>82.3</v>
      </c>
      <c r="G93">
        <v>37.782377241652767</v>
      </c>
      <c r="H93">
        <v>210.3572302353507</v>
      </c>
      <c r="I93">
        <v>18.8</v>
      </c>
      <c r="J93">
        <v>67981</v>
      </c>
      <c r="K93">
        <v>39098</v>
      </c>
      <c r="L93">
        <v>28883</v>
      </c>
      <c r="M93">
        <v>1822910</v>
      </c>
      <c r="N93">
        <v>1733060</v>
      </c>
      <c r="O93">
        <f t="shared" si="0"/>
        <v>51.263368363625119</v>
      </c>
      <c r="P93">
        <v>3432270</v>
      </c>
      <c r="Q93">
        <f>(P93/T93)*100</f>
        <v>96.128688039053415</v>
      </c>
      <c r="R93">
        <v>1817839</v>
      </c>
      <c r="S93">
        <v>1752656</v>
      </c>
      <c r="T93">
        <v>3570495</v>
      </c>
      <c r="U93">
        <v>4.2678000000000003</v>
      </c>
      <c r="V93">
        <v>3.2391999999999999</v>
      </c>
      <c r="W93" t="s">
        <v>13</v>
      </c>
      <c r="X93" t="s">
        <v>10</v>
      </c>
      <c r="Y93">
        <v>56770</v>
      </c>
      <c r="Z93">
        <v>77583</v>
      </c>
      <c r="AA93">
        <v>1</v>
      </c>
      <c r="AB93">
        <v>71.099999999999994</v>
      </c>
      <c r="AC93">
        <v>75</v>
      </c>
      <c r="AD93">
        <v>67.400000000000006</v>
      </c>
    </row>
    <row r="94" spans="1:30" x14ac:dyDescent="0.35">
      <c r="A94" s="1">
        <v>92</v>
      </c>
      <c r="B94">
        <v>1972</v>
      </c>
      <c r="C94">
        <v>3258411</v>
      </c>
      <c r="D94">
        <v>73.099999999999994</v>
      </c>
      <c r="E94">
        <v>15.6</v>
      </c>
      <c r="F94">
        <v>80.400000000000006</v>
      </c>
      <c r="G94">
        <v>41.428475413322623</v>
      </c>
      <c r="H94">
        <v>214.2016461397902</v>
      </c>
      <c r="I94">
        <v>17.8</v>
      </c>
      <c r="J94">
        <v>60182</v>
      </c>
      <c r="K94">
        <v>34710</v>
      </c>
      <c r="L94">
        <v>25472</v>
      </c>
      <c r="M94">
        <v>1669927</v>
      </c>
      <c r="N94">
        <v>1588484</v>
      </c>
      <c r="O94">
        <f t="shared" si="0"/>
        <v>51.249734916804549</v>
      </c>
      <c r="P94">
        <v>3142852</v>
      </c>
      <c r="Q94">
        <f>(P94/T94)*100</f>
        <v>95.630371664570177</v>
      </c>
      <c r="R94">
        <v>1673851</v>
      </c>
      <c r="S94">
        <v>1612607</v>
      </c>
      <c r="T94">
        <v>3286458</v>
      </c>
      <c r="U94">
        <v>4.2643000000000004</v>
      </c>
      <c r="V94">
        <v>3.9443999999999999</v>
      </c>
      <c r="W94" t="s">
        <v>13</v>
      </c>
      <c r="X94" t="s">
        <v>10</v>
      </c>
      <c r="Y94">
        <v>63605</v>
      </c>
      <c r="Z94">
        <v>71386</v>
      </c>
      <c r="AA94">
        <v>1</v>
      </c>
      <c r="AB94">
        <v>71.2</v>
      </c>
      <c r="AC94">
        <v>75.099999999999994</v>
      </c>
      <c r="AD94">
        <v>67.400000000000006</v>
      </c>
    </row>
    <row r="95" spans="1:30" x14ac:dyDescent="0.35">
      <c r="A95" s="1">
        <v>93</v>
      </c>
      <c r="B95">
        <v>1973</v>
      </c>
      <c r="C95">
        <v>3136965</v>
      </c>
      <c r="D95">
        <v>68.8</v>
      </c>
      <c r="E95">
        <v>14.8</v>
      </c>
      <c r="F95">
        <v>79</v>
      </c>
      <c r="G95">
        <v>41.522936978895203</v>
      </c>
      <c r="H95">
        <v>213.65428049085659</v>
      </c>
      <c r="I95">
        <v>17.3</v>
      </c>
      <c r="J95">
        <v>55581</v>
      </c>
      <c r="K95">
        <v>31986</v>
      </c>
      <c r="L95">
        <v>23595</v>
      </c>
      <c r="M95">
        <v>1608326</v>
      </c>
      <c r="N95">
        <v>1528639</v>
      </c>
      <c r="O95">
        <f t="shared" si="0"/>
        <v>51.270128930351468</v>
      </c>
      <c r="P95">
        <v>3016785</v>
      </c>
      <c r="Q95">
        <f>(P95/T95)*100</f>
        <v>95.236298822736103</v>
      </c>
      <c r="R95">
        <v>1613563</v>
      </c>
      <c r="S95">
        <v>1554121</v>
      </c>
      <c r="T95">
        <v>3167684</v>
      </c>
      <c r="U95">
        <v>4.2023000000000001</v>
      </c>
      <c r="V95">
        <v>4.0180999999999996</v>
      </c>
      <c r="W95" t="s">
        <v>13</v>
      </c>
      <c r="X95" t="s">
        <v>10</v>
      </c>
      <c r="Y95">
        <v>62446</v>
      </c>
      <c r="Z95">
        <v>67810</v>
      </c>
      <c r="AA95">
        <v>1</v>
      </c>
      <c r="AB95">
        <v>71.400000000000006</v>
      </c>
      <c r="AC95">
        <v>75.3</v>
      </c>
      <c r="AD95">
        <v>67.599999999999994</v>
      </c>
    </row>
    <row r="96" spans="1:30" x14ac:dyDescent="0.35">
      <c r="A96" s="1">
        <v>94</v>
      </c>
      <c r="B96">
        <v>1974</v>
      </c>
      <c r="C96">
        <v>3159958</v>
      </c>
      <c r="D96">
        <v>67.8</v>
      </c>
      <c r="E96">
        <v>14.8</v>
      </c>
      <c r="F96">
        <v>73.3</v>
      </c>
      <c r="G96">
        <v>41.344853317670683</v>
      </c>
      <c r="H96">
        <v>214.64652378291109</v>
      </c>
      <c r="I96">
        <v>16.8</v>
      </c>
      <c r="J96">
        <v>52776</v>
      </c>
      <c r="K96">
        <v>30305</v>
      </c>
      <c r="L96">
        <v>22471</v>
      </c>
      <c r="M96">
        <v>1622114</v>
      </c>
      <c r="N96">
        <v>1537844</v>
      </c>
      <c r="O96">
        <f t="shared" si="0"/>
        <v>51.333403798404916</v>
      </c>
      <c r="P96">
        <v>3039868</v>
      </c>
      <c r="Q96">
        <f>(P96/T96)*100</f>
        <v>95.10381783324074</v>
      </c>
      <c r="R96">
        <v>1630101</v>
      </c>
      <c r="S96">
        <v>1566267</v>
      </c>
      <c r="T96">
        <v>3196368</v>
      </c>
      <c r="U96">
        <v>4.1429999999999998</v>
      </c>
      <c r="V96">
        <v>4.0292000000000003</v>
      </c>
      <c r="W96" t="s">
        <v>13</v>
      </c>
      <c r="X96" t="s">
        <v>10</v>
      </c>
      <c r="Y96">
        <v>63107</v>
      </c>
      <c r="Z96">
        <v>67541</v>
      </c>
      <c r="AA96">
        <v>1</v>
      </c>
      <c r="AB96">
        <v>72</v>
      </c>
      <c r="AC96">
        <v>75.900000000000006</v>
      </c>
      <c r="AD96">
        <v>68.2</v>
      </c>
    </row>
    <row r="97" spans="1:30" x14ac:dyDescent="0.35">
      <c r="A97" s="1">
        <v>95</v>
      </c>
      <c r="B97">
        <v>1975</v>
      </c>
      <c r="C97">
        <v>3144198</v>
      </c>
      <c r="D97">
        <v>66</v>
      </c>
      <c r="E97">
        <v>14.6</v>
      </c>
      <c r="F97">
        <v>69.900000000000006</v>
      </c>
      <c r="G97">
        <v>40.266230052941957</v>
      </c>
      <c r="H97">
        <v>208.1080771630794</v>
      </c>
      <c r="I97">
        <v>15.9</v>
      </c>
      <c r="J97">
        <v>50525</v>
      </c>
      <c r="K97">
        <v>28812</v>
      </c>
      <c r="L97">
        <v>21713</v>
      </c>
      <c r="M97">
        <v>1613135</v>
      </c>
      <c r="N97">
        <v>1531063</v>
      </c>
      <c r="O97">
        <f t="shared" si="0"/>
        <v>51.305134091428087</v>
      </c>
      <c r="P97">
        <v>3019218</v>
      </c>
      <c r="Q97">
        <f>(P97/T97)*100</f>
        <v>94.850454033523562</v>
      </c>
      <c r="R97">
        <v>1622282</v>
      </c>
      <c r="S97">
        <v>1560853</v>
      </c>
      <c r="T97">
        <v>3183135</v>
      </c>
      <c r="U97">
        <v>4.2172999999999998</v>
      </c>
      <c r="V97">
        <v>3.7275999999999998</v>
      </c>
      <c r="W97" t="s">
        <v>13</v>
      </c>
      <c r="X97" t="s">
        <v>10</v>
      </c>
      <c r="Y97">
        <v>58183</v>
      </c>
      <c r="Z97">
        <v>68422</v>
      </c>
      <c r="AA97">
        <v>1</v>
      </c>
      <c r="AB97">
        <v>72.599999999999994</v>
      </c>
      <c r="AC97">
        <v>76.599999999999994</v>
      </c>
      <c r="AD97">
        <v>68.8</v>
      </c>
    </row>
    <row r="98" spans="1:30" x14ac:dyDescent="0.35">
      <c r="A98" s="1">
        <v>96</v>
      </c>
      <c r="B98">
        <v>1976</v>
      </c>
      <c r="C98">
        <v>3167788</v>
      </c>
      <c r="D98">
        <v>65</v>
      </c>
      <c r="E98">
        <v>14.6</v>
      </c>
      <c r="F98">
        <v>68.8</v>
      </c>
      <c r="G98">
        <v>39.898503308933563</v>
      </c>
      <c r="H98">
        <v>204.32238521012141</v>
      </c>
      <c r="I98">
        <v>15.1</v>
      </c>
      <c r="J98">
        <v>48265</v>
      </c>
      <c r="K98">
        <v>27320</v>
      </c>
      <c r="L98">
        <v>20945</v>
      </c>
      <c r="M98">
        <v>1624436</v>
      </c>
      <c r="N98">
        <v>1543352</v>
      </c>
      <c r="O98">
        <f t="shared" si="0"/>
        <v>51.279820493038045</v>
      </c>
      <c r="P98">
        <v>3034106</v>
      </c>
      <c r="Q98">
        <f>(P98/T98)*100</f>
        <v>94.689490801178053</v>
      </c>
      <c r="R98">
        <v>1632412</v>
      </c>
      <c r="S98">
        <v>1571857</v>
      </c>
      <c r="T98">
        <v>3204269</v>
      </c>
      <c r="U98">
        <v>4.0989000000000004</v>
      </c>
      <c r="V98">
        <v>3.7835000000000001</v>
      </c>
      <c r="W98" t="s">
        <v>13</v>
      </c>
      <c r="X98" t="s">
        <v>10</v>
      </c>
      <c r="Y98">
        <v>59472</v>
      </c>
      <c r="Z98">
        <v>66918</v>
      </c>
      <c r="AA98">
        <v>1</v>
      </c>
      <c r="AB98">
        <v>72.900000000000006</v>
      </c>
      <c r="AC98">
        <v>76.8</v>
      </c>
      <c r="AD98">
        <v>69.099999999999994</v>
      </c>
    </row>
    <row r="99" spans="1:30" x14ac:dyDescent="0.35">
      <c r="A99" s="1">
        <v>97</v>
      </c>
      <c r="B99">
        <v>1977</v>
      </c>
      <c r="C99">
        <v>3326632</v>
      </c>
      <c r="D99">
        <v>66.8</v>
      </c>
      <c r="E99">
        <v>15.1</v>
      </c>
      <c r="F99">
        <v>67.599999999999994</v>
      </c>
      <c r="G99">
        <v>38.043282214564172</v>
      </c>
      <c r="H99">
        <v>200.32182700100279</v>
      </c>
      <c r="I99">
        <v>14.2</v>
      </c>
      <c r="J99">
        <v>46975</v>
      </c>
      <c r="K99">
        <v>26875</v>
      </c>
      <c r="L99">
        <v>20100</v>
      </c>
      <c r="M99">
        <v>1705916</v>
      </c>
      <c r="N99">
        <v>1620716</v>
      </c>
      <c r="O99">
        <f t="shared" si="0"/>
        <v>51.28057446690827</v>
      </c>
      <c r="P99">
        <v>3176366</v>
      </c>
      <c r="Q99">
        <f>(P99/T99)*100</f>
        <v>94.694301735335472</v>
      </c>
      <c r="R99">
        <v>1709313</v>
      </c>
      <c r="S99">
        <v>1645024</v>
      </c>
      <c r="T99">
        <v>3354337</v>
      </c>
      <c r="U99">
        <v>3.9542000000000002</v>
      </c>
      <c r="V99">
        <v>3.5844</v>
      </c>
      <c r="W99" t="s">
        <v>13</v>
      </c>
      <c r="X99" t="s">
        <v>10</v>
      </c>
      <c r="Y99">
        <v>58964</v>
      </c>
      <c r="Z99">
        <v>67592</v>
      </c>
      <c r="AA99">
        <v>1</v>
      </c>
      <c r="AB99">
        <v>73.3</v>
      </c>
      <c r="AC99">
        <v>77.2</v>
      </c>
      <c r="AD99">
        <v>69.5</v>
      </c>
    </row>
    <row r="100" spans="1:30" x14ac:dyDescent="0.35">
      <c r="A100" s="1">
        <v>98</v>
      </c>
      <c r="B100">
        <v>1978</v>
      </c>
      <c r="C100">
        <v>3333279</v>
      </c>
      <c r="D100">
        <v>65.5</v>
      </c>
      <c r="E100">
        <v>15</v>
      </c>
      <c r="F100">
        <v>67.900000000000006</v>
      </c>
      <c r="G100">
        <v>37.036503695010232</v>
      </c>
      <c r="H100">
        <v>197.3216163423464</v>
      </c>
      <c r="I100">
        <v>13.6</v>
      </c>
      <c r="J100">
        <v>45945</v>
      </c>
      <c r="K100">
        <v>26088</v>
      </c>
      <c r="L100">
        <v>19857</v>
      </c>
      <c r="M100">
        <v>1709394</v>
      </c>
      <c r="N100">
        <v>1623885</v>
      </c>
      <c r="O100">
        <f t="shared" si="0"/>
        <v>51.282655907291286</v>
      </c>
      <c r="P100">
        <v>3173696</v>
      </c>
      <c r="Q100">
        <f>(P100/T100)*100</f>
        <v>94.669512393378469</v>
      </c>
      <c r="R100">
        <v>1708489</v>
      </c>
      <c r="S100">
        <v>1643906</v>
      </c>
      <c r="T100">
        <v>3352395</v>
      </c>
      <c r="U100">
        <v>3.9291999999999998</v>
      </c>
      <c r="V100">
        <v>3.4258999999999999</v>
      </c>
      <c r="W100" t="s">
        <v>13</v>
      </c>
      <c r="X100" t="s">
        <v>10</v>
      </c>
      <c r="Y100">
        <v>56318</v>
      </c>
      <c r="Z100">
        <v>67135</v>
      </c>
      <c r="AA100">
        <v>1</v>
      </c>
      <c r="AB100">
        <v>73.5</v>
      </c>
      <c r="AC100">
        <v>77.3</v>
      </c>
      <c r="AD100">
        <v>69.599999999999994</v>
      </c>
    </row>
    <row r="101" spans="1:30" x14ac:dyDescent="0.35">
      <c r="A101" s="1">
        <v>99</v>
      </c>
      <c r="B101">
        <v>1979</v>
      </c>
      <c r="C101">
        <v>3494398</v>
      </c>
      <c r="D101">
        <v>67.2</v>
      </c>
      <c r="E101">
        <v>15.6</v>
      </c>
      <c r="F101">
        <v>64.2</v>
      </c>
      <c r="G101">
        <v>35.609567084230243</v>
      </c>
      <c r="H101">
        <v>196.88198081615201</v>
      </c>
      <c r="I101">
        <v>13.1</v>
      </c>
      <c r="J101">
        <v>45665</v>
      </c>
      <c r="K101">
        <v>25980</v>
      </c>
      <c r="L101">
        <v>19685</v>
      </c>
      <c r="M101">
        <v>1791267</v>
      </c>
      <c r="N101">
        <v>1703131</v>
      </c>
      <c r="O101">
        <f t="shared" si="0"/>
        <v>51.261104201639306</v>
      </c>
      <c r="P101">
        <v>3326804</v>
      </c>
      <c r="Q101">
        <f>(P101/T101)*100</f>
        <v>94.660729274850979</v>
      </c>
      <c r="R101">
        <v>1791198</v>
      </c>
      <c r="S101">
        <v>1723252</v>
      </c>
      <c r="T101">
        <v>3514450</v>
      </c>
      <c r="U101">
        <v>3.7805</v>
      </c>
      <c r="V101">
        <v>3.2911000000000001</v>
      </c>
      <c r="W101" t="s">
        <v>13</v>
      </c>
      <c r="X101" t="s">
        <v>10</v>
      </c>
      <c r="Y101">
        <v>56714</v>
      </c>
      <c r="Z101">
        <v>67720</v>
      </c>
      <c r="AA101">
        <v>1</v>
      </c>
      <c r="AB101">
        <v>73.900000000000006</v>
      </c>
      <c r="AC101">
        <v>77.8</v>
      </c>
      <c r="AD101">
        <v>70</v>
      </c>
    </row>
    <row r="102" spans="1:30" x14ac:dyDescent="0.35">
      <c r="A102" s="1">
        <v>100</v>
      </c>
      <c r="B102">
        <v>1980</v>
      </c>
      <c r="C102">
        <v>3612258</v>
      </c>
      <c r="D102">
        <v>68.400000000000006</v>
      </c>
      <c r="E102">
        <v>15.9</v>
      </c>
      <c r="F102">
        <v>63.9</v>
      </c>
      <c r="G102">
        <v>35.176335688093147</v>
      </c>
      <c r="H102">
        <v>195.07106081570029</v>
      </c>
      <c r="I102">
        <v>12.7</v>
      </c>
      <c r="J102">
        <v>45526</v>
      </c>
      <c r="K102">
        <v>25804</v>
      </c>
      <c r="L102">
        <v>19722</v>
      </c>
      <c r="M102">
        <v>1852616</v>
      </c>
      <c r="N102">
        <v>1759642</v>
      </c>
      <c r="O102">
        <f t="shared" si="0"/>
        <v>51.286923580763059</v>
      </c>
      <c r="P102">
        <v>3444258</v>
      </c>
      <c r="Q102">
        <f>(P102/T102)*100</f>
        <v>94.747492364237758</v>
      </c>
      <c r="R102">
        <v>1854617</v>
      </c>
      <c r="S102">
        <v>1780580</v>
      </c>
      <c r="T102">
        <v>3635197</v>
      </c>
      <c r="U102">
        <v>3.7033</v>
      </c>
      <c r="V102">
        <v>3.2785000000000002</v>
      </c>
      <c r="W102" t="s">
        <v>13</v>
      </c>
      <c r="X102" t="s">
        <v>10</v>
      </c>
      <c r="Y102">
        <v>58379</v>
      </c>
      <c r="Z102">
        <v>68687</v>
      </c>
      <c r="AA102">
        <v>1</v>
      </c>
      <c r="AB102">
        <v>73.7</v>
      </c>
      <c r="AC102">
        <v>77.400000000000006</v>
      </c>
      <c r="AD102">
        <v>70</v>
      </c>
    </row>
    <row r="103" spans="1:30" x14ac:dyDescent="0.35">
      <c r="A103" s="1">
        <v>101</v>
      </c>
      <c r="B103">
        <v>1981</v>
      </c>
      <c r="C103">
        <v>3629238</v>
      </c>
      <c r="D103">
        <v>67.3</v>
      </c>
      <c r="E103">
        <v>15.8</v>
      </c>
      <c r="F103">
        <v>60.6</v>
      </c>
      <c r="G103">
        <v>34.666505751345049</v>
      </c>
      <c r="H103">
        <v>196.06429779474371</v>
      </c>
      <c r="I103">
        <v>11.9</v>
      </c>
      <c r="J103">
        <v>43305</v>
      </c>
      <c r="K103">
        <v>24452</v>
      </c>
      <c r="L103">
        <v>18853</v>
      </c>
      <c r="M103">
        <v>1860272</v>
      </c>
      <c r="N103">
        <v>1768966</v>
      </c>
      <c r="O103">
        <f t="shared" si="0"/>
        <v>51.257922461960334</v>
      </c>
      <c r="P103">
        <v>3459237</v>
      </c>
      <c r="Q103">
        <f>(P103/T103)*100</f>
        <v>94.752848690697931</v>
      </c>
      <c r="R103">
        <v>1862240</v>
      </c>
      <c r="S103">
        <v>1788560</v>
      </c>
      <c r="T103">
        <v>3650800</v>
      </c>
      <c r="U103">
        <v>3.6922999999999999</v>
      </c>
      <c r="V103">
        <v>3.1897000000000002</v>
      </c>
      <c r="W103" t="s">
        <v>13</v>
      </c>
      <c r="X103" t="s">
        <v>10</v>
      </c>
      <c r="Y103">
        <v>57048</v>
      </c>
      <c r="Z103">
        <v>68765</v>
      </c>
      <c r="AA103">
        <v>1</v>
      </c>
      <c r="AB103">
        <v>74.099999999999994</v>
      </c>
      <c r="AC103">
        <v>77.8</v>
      </c>
      <c r="AD103">
        <v>70.400000000000006</v>
      </c>
    </row>
    <row r="104" spans="1:30" x14ac:dyDescent="0.35">
      <c r="A104" s="1">
        <v>102</v>
      </c>
      <c r="B104">
        <v>1982</v>
      </c>
      <c r="C104">
        <v>3680537</v>
      </c>
      <c r="D104">
        <v>67.3</v>
      </c>
      <c r="E104">
        <v>15.9</v>
      </c>
      <c r="F104">
        <v>58.2</v>
      </c>
      <c r="G104">
        <v>34.058345290374753</v>
      </c>
      <c r="H104">
        <v>197.0821105724518</v>
      </c>
      <c r="I104">
        <v>11.5</v>
      </c>
      <c r="J104">
        <v>42401</v>
      </c>
      <c r="K104">
        <v>24073</v>
      </c>
      <c r="L104">
        <v>18328</v>
      </c>
      <c r="M104">
        <v>1885676</v>
      </c>
      <c r="N104">
        <v>1794861</v>
      </c>
      <c r="O104">
        <f t="shared" si="0"/>
        <v>51.233719427355304</v>
      </c>
      <c r="P104">
        <v>3507772</v>
      </c>
      <c r="Q104">
        <f>(P104/T104)*100</f>
        <v>94.770736093354699</v>
      </c>
      <c r="R104">
        <v>1887007</v>
      </c>
      <c r="S104">
        <v>1814317</v>
      </c>
      <c r="T104">
        <v>3701324</v>
      </c>
      <c r="U104">
        <v>3.6154999999999999</v>
      </c>
      <c r="V104">
        <v>3.1484999999999999</v>
      </c>
      <c r="W104" t="s">
        <v>13</v>
      </c>
      <c r="X104" t="s">
        <v>10</v>
      </c>
      <c r="Y104">
        <v>57122</v>
      </c>
      <c r="Z104">
        <v>68231</v>
      </c>
      <c r="AA104">
        <v>1</v>
      </c>
      <c r="AB104">
        <v>74.5</v>
      </c>
      <c r="AC104">
        <v>78.099999999999994</v>
      </c>
      <c r="AD104">
        <v>70.8</v>
      </c>
    </row>
    <row r="105" spans="1:30" x14ac:dyDescent="0.35">
      <c r="A105" s="1">
        <v>103</v>
      </c>
      <c r="B105">
        <v>1983</v>
      </c>
      <c r="C105">
        <v>3638933</v>
      </c>
      <c r="D105">
        <v>65.7</v>
      </c>
      <c r="E105">
        <v>15.6</v>
      </c>
      <c r="F105">
        <v>56.1</v>
      </c>
      <c r="G105">
        <v>33.621943575218339</v>
      </c>
      <c r="H105">
        <v>200.12377254541369</v>
      </c>
      <c r="I105">
        <v>11</v>
      </c>
      <c r="J105">
        <v>40627</v>
      </c>
      <c r="K105">
        <v>22969</v>
      </c>
      <c r="L105">
        <v>17658</v>
      </c>
      <c r="M105">
        <v>1865553</v>
      </c>
      <c r="N105">
        <v>1773380</v>
      </c>
      <c r="O105">
        <f t="shared" si="0"/>
        <v>51.266483884149558</v>
      </c>
      <c r="P105">
        <v>3463173</v>
      </c>
      <c r="Q105">
        <f>(P105/T105)*100</f>
        <v>94.799457017587798</v>
      </c>
      <c r="R105">
        <v>1863495</v>
      </c>
      <c r="S105">
        <v>1789662</v>
      </c>
      <c r="T105">
        <v>3653157</v>
      </c>
      <c r="U105">
        <v>3.6486999999999998</v>
      </c>
      <c r="V105">
        <v>3.0369999999999999</v>
      </c>
      <c r="W105" t="s">
        <v>13</v>
      </c>
      <c r="X105" t="s">
        <v>10</v>
      </c>
      <c r="Y105">
        <v>54352</v>
      </c>
      <c r="Z105">
        <v>67996</v>
      </c>
      <c r="AA105">
        <v>1</v>
      </c>
      <c r="AB105">
        <v>74.599999999999994</v>
      </c>
      <c r="AC105">
        <v>78.099999999999994</v>
      </c>
      <c r="AD105">
        <v>71</v>
      </c>
    </row>
    <row r="106" spans="1:30" x14ac:dyDescent="0.35">
      <c r="A106" s="1">
        <v>104</v>
      </c>
      <c r="B106">
        <v>1984</v>
      </c>
      <c r="C106">
        <v>3669141</v>
      </c>
      <c r="D106">
        <v>65.5</v>
      </c>
      <c r="E106">
        <v>15.6</v>
      </c>
      <c r="F106">
        <v>52.2</v>
      </c>
      <c r="G106">
        <v>32.243241674277442</v>
      </c>
      <c r="H106">
        <v>198.30554345008821</v>
      </c>
      <c r="I106">
        <v>10.9</v>
      </c>
      <c r="J106">
        <v>39580</v>
      </c>
      <c r="K106">
        <v>22359</v>
      </c>
      <c r="L106">
        <v>17221</v>
      </c>
      <c r="M106">
        <v>1879490</v>
      </c>
      <c r="N106">
        <v>1789651</v>
      </c>
      <c r="O106">
        <f t="shared" si="0"/>
        <v>51.224251125808465</v>
      </c>
      <c r="P106">
        <v>3488665</v>
      </c>
      <c r="Q106">
        <f>(P106/T106)*100</f>
        <v>94.799648916859596</v>
      </c>
      <c r="R106">
        <v>1876666</v>
      </c>
      <c r="S106">
        <v>1803374</v>
      </c>
      <c r="T106">
        <v>3680040</v>
      </c>
      <c r="U106">
        <v>3.6095999999999999</v>
      </c>
      <c r="V106">
        <v>2.8039000000000001</v>
      </c>
      <c r="W106" t="s">
        <v>13</v>
      </c>
      <c r="X106" t="s">
        <v>10</v>
      </c>
      <c r="Y106">
        <v>50563</v>
      </c>
      <c r="Z106">
        <v>67742</v>
      </c>
      <c r="AA106">
        <v>1</v>
      </c>
      <c r="AB106">
        <v>74.7</v>
      </c>
      <c r="AC106">
        <v>78.2</v>
      </c>
      <c r="AD106">
        <v>71.099999999999994</v>
      </c>
    </row>
    <row r="107" spans="1:30" x14ac:dyDescent="0.35">
      <c r="A107" s="1">
        <v>105</v>
      </c>
      <c r="B107">
        <v>1985</v>
      </c>
      <c r="C107">
        <v>3760561</v>
      </c>
      <c r="D107">
        <v>66.3</v>
      </c>
      <c r="E107">
        <v>15.8</v>
      </c>
      <c r="F107">
        <v>51.8</v>
      </c>
      <c r="G107">
        <v>30.122633298595609</v>
      </c>
      <c r="H107">
        <v>194.24016788984409</v>
      </c>
      <c r="I107">
        <v>10.8</v>
      </c>
      <c r="J107">
        <v>40030</v>
      </c>
      <c r="K107">
        <v>22958</v>
      </c>
      <c r="L107">
        <v>17072</v>
      </c>
      <c r="M107">
        <v>1927983</v>
      </c>
      <c r="N107">
        <v>1832578</v>
      </c>
      <c r="O107">
        <f t="shared" si="0"/>
        <v>51.268494248597484</v>
      </c>
      <c r="P107">
        <v>3569038</v>
      </c>
      <c r="Q107">
        <f>(P107/T107)*100</f>
        <v>94.648655414672859</v>
      </c>
      <c r="R107">
        <v>1924443</v>
      </c>
      <c r="S107">
        <v>1846385</v>
      </c>
      <c r="T107">
        <v>3770828</v>
      </c>
      <c r="U107">
        <v>3.3740000000000001</v>
      </c>
      <c r="V107">
        <v>2.6185999999999998</v>
      </c>
      <c r="W107" t="s">
        <v>14</v>
      </c>
      <c r="X107" t="s">
        <v>10</v>
      </c>
      <c r="Y107">
        <v>48348</v>
      </c>
      <c r="Z107">
        <v>64930</v>
      </c>
      <c r="AA107">
        <v>1</v>
      </c>
      <c r="AB107">
        <v>74.7</v>
      </c>
      <c r="AC107">
        <v>78.2</v>
      </c>
      <c r="AD107">
        <v>71.099999999999994</v>
      </c>
    </row>
    <row r="108" spans="1:30" x14ac:dyDescent="0.35">
      <c r="A108" s="1">
        <v>106</v>
      </c>
      <c r="B108">
        <v>1986</v>
      </c>
      <c r="C108">
        <v>3756547</v>
      </c>
      <c r="D108">
        <v>65.400000000000006</v>
      </c>
      <c r="E108">
        <v>15.6</v>
      </c>
      <c r="F108">
        <v>52.4</v>
      </c>
      <c r="G108">
        <v>31.121931923119821</v>
      </c>
      <c r="H108">
        <v>191.37974315242161</v>
      </c>
      <c r="I108">
        <v>10.4</v>
      </c>
      <c r="J108">
        <v>38891</v>
      </c>
      <c r="K108">
        <v>22224</v>
      </c>
      <c r="L108">
        <v>16667</v>
      </c>
      <c r="M108">
        <v>1924868</v>
      </c>
      <c r="N108">
        <v>1831679</v>
      </c>
      <c r="O108">
        <f t="shared" si="0"/>
        <v>51.240354506412402</v>
      </c>
      <c r="P108">
        <v>3557062</v>
      </c>
      <c r="Q108">
        <f>(P108/T108)*100</f>
        <v>94.418947378479871</v>
      </c>
      <c r="R108">
        <v>1921751</v>
      </c>
      <c r="S108">
        <v>1845567</v>
      </c>
      <c r="T108">
        <v>3767318</v>
      </c>
      <c r="U108">
        <v>3.3422000000000001</v>
      </c>
      <c r="V108">
        <v>2.8546999999999998</v>
      </c>
      <c r="W108" t="s">
        <v>14</v>
      </c>
      <c r="X108" t="s">
        <v>10</v>
      </c>
      <c r="Y108">
        <v>52684</v>
      </c>
      <c r="Z108">
        <v>64227</v>
      </c>
      <c r="AA108">
        <v>1</v>
      </c>
      <c r="AB108">
        <v>74.7</v>
      </c>
      <c r="AC108">
        <v>78.2</v>
      </c>
      <c r="AD108">
        <v>71.2</v>
      </c>
    </row>
    <row r="109" spans="1:30" x14ac:dyDescent="0.35">
      <c r="A109" s="1">
        <v>107</v>
      </c>
      <c r="B109">
        <v>1987</v>
      </c>
      <c r="C109">
        <v>3809394</v>
      </c>
      <c r="D109">
        <v>65.8</v>
      </c>
      <c r="E109">
        <v>15.7</v>
      </c>
      <c r="F109">
        <v>52.1</v>
      </c>
      <c r="G109">
        <v>31.411557848833699</v>
      </c>
      <c r="H109">
        <v>189.9711607673031</v>
      </c>
      <c r="I109">
        <v>10.3</v>
      </c>
      <c r="J109">
        <v>38408</v>
      </c>
      <c r="K109">
        <v>21798</v>
      </c>
      <c r="L109">
        <v>16610</v>
      </c>
      <c r="M109">
        <v>1951153</v>
      </c>
      <c r="N109">
        <v>1858241</v>
      </c>
      <c r="O109">
        <f t="shared" si="0"/>
        <v>51.219511554856233</v>
      </c>
      <c r="P109">
        <v>3605616</v>
      </c>
      <c r="Q109">
        <f>(P109/T109)*100</f>
        <v>94.274378640578689</v>
      </c>
      <c r="R109">
        <v>1950317</v>
      </c>
      <c r="S109">
        <v>1874281</v>
      </c>
      <c r="T109">
        <v>3824598</v>
      </c>
      <c r="U109">
        <v>3.2644000000000002</v>
      </c>
      <c r="V109">
        <v>2.9876999999999998</v>
      </c>
      <c r="W109" t="s">
        <v>14</v>
      </c>
      <c r="X109" t="s">
        <v>10</v>
      </c>
      <c r="Y109">
        <v>55996</v>
      </c>
      <c r="Z109">
        <v>63663</v>
      </c>
      <c r="AA109">
        <v>1</v>
      </c>
      <c r="AB109">
        <v>74.900000000000006</v>
      </c>
      <c r="AC109">
        <v>78.3</v>
      </c>
      <c r="AD109">
        <v>71.400000000000006</v>
      </c>
    </row>
    <row r="110" spans="1:30" x14ac:dyDescent="0.35">
      <c r="A110" s="1">
        <v>108</v>
      </c>
      <c r="B110">
        <v>1988</v>
      </c>
      <c r="C110">
        <v>3909510</v>
      </c>
      <c r="D110">
        <v>67.3</v>
      </c>
      <c r="E110">
        <v>16</v>
      </c>
      <c r="F110">
        <v>51.5</v>
      </c>
      <c r="G110">
        <v>29.59910577028835</v>
      </c>
      <c r="H110">
        <v>183.48897943732081</v>
      </c>
      <c r="I110">
        <v>10.199999999999999</v>
      </c>
      <c r="J110">
        <v>38910</v>
      </c>
      <c r="K110">
        <v>22007</v>
      </c>
      <c r="L110">
        <v>16903</v>
      </c>
      <c r="M110">
        <v>2002424</v>
      </c>
      <c r="N110">
        <v>1907086</v>
      </c>
      <c r="O110">
        <f t="shared" si="0"/>
        <v>51.219308813636488</v>
      </c>
      <c r="P110">
        <v>3695137</v>
      </c>
      <c r="Q110">
        <f>(P110/T110)*100</f>
        <v>94.127502246749088</v>
      </c>
      <c r="R110">
        <v>2002458</v>
      </c>
      <c r="S110">
        <v>1923214</v>
      </c>
      <c r="T110">
        <v>3925672</v>
      </c>
      <c r="U110">
        <v>3.2044999999999999</v>
      </c>
      <c r="V110">
        <v>2.6808000000000001</v>
      </c>
      <c r="W110" t="s">
        <v>14</v>
      </c>
      <c r="X110" t="s">
        <v>10</v>
      </c>
      <c r="Y110">
        <v>51555</v>
      </c>
      <c r="Z110">
        <v>64163</v>
      </c>
      <c r="AA110">
        <v>1</v>
      </c>
      <c r="AB110">
        <v>74.900000000000006</v>
      </c>
      <c r="AC110">
        <v>78.3</v>
      </c>
      <c r="AD110">
        <v>71.400000000000006</v>
      </c>
    </row>
    <row r="111" spans="1:30" x14ac:dyDescent="0.35">
      <c r="A111" s="1">
        <v>109</v>
      </c>
      <c r="B111">
        <v>1989</v>
      </c>
      <c r="C111">
        <v>4040958</v>
      </c>
      <c r="D111">
        <v>69.2</v>
      </c>
      <c r="E111">
        <v>16.399999999999999</v>
      </c>
      <c r="F111">
        <v>49.8</v>
      </c>
      <c r="G111">
        <v>28.037410930774339</v>
      </c>
      <c r="H111">
        <v>178.0676760312777</v>
      </c>
      <c r="I111">
        <v>10.3</v>
      </c>
      <c r="J111">
        <v>39655</v>
      </c>
      <c r="K111">
        <v>22361</v>
      </c>
      <c r="L111">
        <v>17294</v>
      </c>
      <c r="M111">
        <v>2069490</v>
      </c>
      <c r="N111">
        <v>1971468</v>
      </c>
      <c r="O111">
        <f t="shared" si="0"/>
        <v>51.212855961383418</v>
      </c>
      <c r="P111">
        <v>3844480</v>
      </c>
      <c r="Q111">
        <f>(P111/T111)*100</f>
        <v>94.035277905104721</v>
      </c>
      <c r="R111">
        <v>2096106</v>
      </c>
      <c r="S111">
        <v>1992232</v>
      </c>
      <c r="T111">
        <v>4088338</v>
      </c>
      <c r="U111">
        <v>3.1206999999999998</v>
      </c>
      <c r="V111">
        <v>2.4037999999999999</v>
      </c>
      <c r="W111" t="s">
        <v>14</v>
      </c>
      <c r="X111" t="s">
        <v>10</v>
      </c>
      <c r="Y111">
        <v>47889</v>
      </c>
      <c r="Z111">
        <v>65409</v>
      </c>
      <c r="AA111">
        <v>1</v>
      </c>
      <c r="AB111">
        <v>75.099999999999994</v>
      </c>
      <c r="AC111">
        <v>78.5</v>
      </c>
      <c r="AD111">
        <v>71.7</v>
      </c>
    </row>
    <row r="112" spans="1:30" x14ac:dyDescent="0.35">
      <c r="A112" s="1">
        <v>110</v>
      </c>
      <c r="B112">
        <v>1990</v>
      </c>
      <c r="C112">
        <v>4158212</v>
      </c>
      <c r="D112">
        <v>70.900000000000006</v>
      </c>
      <c r="E112">
        <v>16.7</v>
      </c>
      <c r="F112">
        <v>46.8</v>
      </c>
      <c r="G112">
        <v>26.884872632756579</v>
      </c>
      <c r="H112">
        <v>169.09383167572989</v>
      </c>
      <c r="I112">
        <v>9.6999999999999993</v>
      </c>
      <c r="J112">
        <v>38351</v>
      </c>
      <c r="K112">
        <v>21856</v>
      </c>
      <c r="L112">
        <v>16495</v>
      </c>
      <c r="M112">
        <v>2129495</v>
      </c>
      <c r="N112">
        <v>2028717</v>
      </c>
      <c r="O112">
        <f t="shared" si="0"/>
        <v>51.211794877221273</v>
      </c>
      <c r="P112">
        <v>3952585</v>
      </c>
      <c r="Q112">
        <f>(P112/T112)*100</f>
        <v>93.95753709846349</v>
      </c>
      <c r="R112">
        <v>2152267</v>
      </c>
      <c r="S112">
        <v>2054511</v>
      </c>
      <c r="T112">
        <v>4206778</v>
      </c>
      <c r="U112">
        <v>3.0348999999999999</v>
      </c>
      <c r="V112">
        <v>2.2625000000000002</v>
      </c>
      <c r="W112" t="s">
        <v>14</v>
      </c>
      <c r="X112" t="s">
        <v>10</v>
      </c>
      <c r="Y112">
        <v>46480</v>
      </c>
      <c r="Z112">
        <v>65313</v>
      </c>
      <c r="AA112">
        <v>1</v>
      </c>
      <c r="AB112">
        <v>75.400000000000006</v>
      </c>
      <c r="AC112">
        <v>78.8</v>
      </c>
      <c r="AD112">
        <v>71.8</v>
      </c>
    </row>
    <row r="113" spans="1:30" x14ac:dyDescent="0.35">
      <c r="A113" s="1">
        <v>111</v>
      </c>
      <c r="B113">
        <v>1991</v>
      </c>
      <c r="C113">
        <v>4110907</v>
      </c>
      <c r="D113">
        <v>69.3</v>
      </c>
      <c r="E113">
        <v>16.2</v>
      </c>
      <c r="F113">
        <v>47.4</v>
      </c>
      <c r="G113">
        <v>25.367394591996359</v>
      </c>
      <c r="H113">
        <v>158.5314384392544</v>
      </c>
      <c r="I113">
        <v>9.1999999999999993</v>
      </c>
      <c r="J113">
        <v>36766</v>
      </c>
      <c r="K113">
        <v>21008</v>
      </c>
      <c r="L113">
        <v>15758</v>
      </c>
      <c r="M113">
        <v>2101518</v>
      </c>
      <c r="N113">
        <v>2009389</v>
      </c>
      <c r="O113">
        <f t="shared" si="0"/>
        <v>51.120543471306945</v>
      </c>
      <c r="P113">
        <v>3895335</v>
      </c>
      <c r="Q113">
        <f>(P113/T113)*100</f>
        <v>93.786927684097904</v>
      </c>
      <c r="R113">
        <v>2119861</v>
      </c>
      <c r="S113">
        <v>2033527</v>
      </c>
      <c r="T113">
        <v>4153388</v>
      </c>
      <c r="U113">
        <v>2.8685</v>
      </c>
      <c r="V113">
        <v>2.1383000000000001</v>
      </c>
      <c r="W113" t="s">
        <v>15</v>
      </c>
      <c r="X113" t="s">
        <v>10</v>
      </c>
      <c r="Y113">
        <v>43480</v>
      </c>
      <c r="Z113">
        <v>60803</v>
      </c>
      <c r="AA113">
        <v>1</v>
      </c>
      <c r="AB113">
        <v>75.5</v>
      </c>
      <c r="AC113">
        <v>78.900000000000006</v>
      </c>
      <c r="AD113">
        <v>72</v>
      </c>
    </row>
    <row r="114" spans="1:30" x14ac:dyDescent="0.35">
      <c r="A114" s="1">
        <v>112</v>
      </c>
      <c r="B114">
        <v>1992</v>
      </c>
      <c r="C114">
        <v>4065014</v>
      </c>
      <c r="D114">
        <v>68.400000000000006</v>
      </c>
      <c r="E114">
        <v>15.8</v>
      </c>
      <c r="F114">
        <v>43.5</v>
      </c>
      <c r="G114">
        <v>22.84297175852285</v>
      </c>
      <c r="H114">
        <v>147.63393188805739</v>
      </c>
      <c r="I114">
        <v>8.6999999999999993</v>
      </c>
      <c r="J114">
        <v>34628</v>
      </c>
      <c r="K114">
        <v>19545</v>
      </c>
      <c r="L114">
        <v>15083</v>
      </c>
      <c r="M114">
        <v>2082097</v>
      </c>
      <c r="N114">
        <v>1982917</v>
      </c>
      <c r="O114">
        <f t="shared" si="0"/>
        <v>51.219921997808612</v>
      </c>
      <c r="P114">
        <v>3841340</v>
      </c>
      <c r="Q114">
        <f>(P114/T114)*100</f>
        <v>93.59689210775872</v>
      </c>
      <c r="R114">
        <v>2099372</v>
      </c>
      <c r="S114">
        <v>2004760</v>
      </c>
      <c r="T114">
        <v>4104132</v>
      </c>
      <c r="U114">
        <v>2.5914999999999999</v>
      </c>
      <c r="V114">
        <v>1.9184000000000001</v>
      </c>
      <c r="W114" t="s">
        <v>15</v>
      </c>
      <c r="X114" t="s">
        <v>10</v>
      </c>
      <c r="Y114">
        <v>38458</v>
      </c>
      <c r="Z114">
        <v>54399</v>
      </c>
      <c r="AA114">
        <v>1</v>
      </c>
      <c r="AB114">
        <v>75.8</v>
      </c>
      <c r="AC114">
        <v>79.099999999999994</v>
      </c>
      <c r="AD114">
        <v>72.3</v>
      </c>
    </row>
    <row r="115" spans="1:30" x14ac:dyDescent="0.35">
      <c r="A115" s="1">
        <v>113</v>
      </c>
      <c r="B115">
        <v>1993</v>
      </c>
      <c r="C115">
        <v>4000240</v>
      </c>
      <c r="D115">
        <v>67</v>
      </c>
      <c r="E115">
        <v>15.4</v>
      </c>
      <c r="F115">
        <v>44.6</v>
      </c>
      <c r="G115">
        <v>21.137481751094931</v>
      </c>
      <c r="H115">
        <v>141.79474231546109</v>
      </c>
      <c r="I115">
        <v>8.5</v>
      </c>
      <c r="J115">
        <v>33466</v>
      </c>
      <c r="K115">
        <v>18959</v>
      </c>
      <c r="L115">
        <v>14507</v>
      </c>
      <c r="M115">
        <v>2048861</v>
      </c>
      <c r="N115">
        <v>1951379</v>
      </c>
      <c r="O115">
        <f t="shared" si="0"/>
        <v>51.218451892886428</v>
      </c>
      <c r="P115">
        <v>3770400</v>
      </c>
      <c r="Q115">
        <f>(P115/T115)*100</f>
        <v>93.388452269197714</v>
      </c>
      <c r="R115">
        <v>2065688</v>
      </c>
      <c r="S115">
        <v>1971642</v>
      </c>
      <c r="T115">
        <v>4037330</v>
      </c>
      <c r="U115">
        <v>2.3995000000000002</v>
      </c>
      <c r="V115">
        <v>1.7748999999999999</v>
      </c>
      <c r="W115" t="s">
        <v>14</v>
      </c>
      <c r="X115" t="s">
        <v>10</v>
      </c>
      <c r="Y115">
        <v>34993</v>
      </c>
      <c r="Z115">
        <v>49562</v>
      </c>
      <c r="AA115">
        <v>1</v>
      </c>
      <c r="AB115">
        <v>75.5</v>
      </c>
      <c r="AC115">
        <v>78.8</v>
      </c>
      <c r="AD115">
        <v>72.2</v>
      </c>
    </row>
    <row r="116" spans="1:30" x14ac:dyDescent="0.35">
      <c r="A116" s="1">
        <v>114</v>
      </c>
      <c r="B116">
        <v>1994</v>
      </c>
      <c r="C116">
        <v>3952767</v>
      </c>
      <c r="D116">
        <v>65.900000000000006</v>
      </c>
      <c r="E116">
        <v>15</v>
      </c>
      <c r="F116">
        <v>42.7</v>
      </c>
      <c r="G116">
        <v>19.376806171474311</v>
      </c>
      <c r="H116">
        <v>136.34094799921169</v>
      </c>
      <c r="I116">
        <v>8.1999999999999993</v>
      </c>
      <c r="J116">
        <v>31710</v>
      </c>
      <c r="K116">
        <v>17814</v>
      </c>
      <c r="L116">
        <v>13896</v>
      </c>
      <c r="M116">
        <v>2022589</v>
      </c>
      <c r="N116">
        <v>1930178</v>
      </c>
      <c r="O116">
        <f t="shared" si="0"/>
        <v>51.16894064335186</v>
      </c>
      <c r="P116">
        <v>3717784</v>
      </c>
      <c r="Q116">
        <f>(P116/T116)*100</f>
        <v>93.223361155695812</v>
      </c>
      <c r="R116">
        <v>2038554</v>
      </c>
      <c r="S116">
        <v>1949485</v>
      </c>
      <c r="T116">
        <v>3988039</v>
      </c>
      <c r="U116">
        <v>2.1817000000000002</v>
      </c>
      <c r="V116">
        <v>1.6477999999999999</v>
      </c>
      <c r="W116" t="s">
        <v>14</v>
      </c>
      <c r="X116" t="s">
        <v>10</v>
      </c>
      <c r="Y116">
        <v>32122</v>
      </c>
      <c r="Z116">
        <v>44470</v>
      </c>
      <c r="AA116">
        <v>1</v>
      </c>
      <c r="AB116">
        <v>75.7</v>
      </c>
      <c r="AC116">
        <v>79</v>
      </c>
      <c r="AD116">
        <v>72.400000000000006</v>
      </c>
    </row>
    <row r="117" spans="1:30" x14ac:dyDescent="0.35">
      <c r="A117" s="1">
        <v>115</v>
      </c>
      <c r="B117">
        <v>1995</v>
      </c>
      <c r="C117">
        <v>3899589</v>
      </c>
      <c r="D117">
        <v>64.599999999999994</v>
      </c>
      <c r="E117">
        <v>14.6</v>
      </c>
      <c r="F117">
        <v>40.4</v>
      </c>
      <c r="G117">
        <v>17.783156122350331</v>
      </c>
      <c r="H117">
        <v>132.08930479596691</v>
      </c>
      <c r="I117">
        <v>7.8</v>
      </c>
      <c r="J117">
        <v>29583</v>
      </c>
      <c r="K117">
        <v>16622</v>
      </c>
      <c r="L117">
        <v>12961</v>
      </c>
      <c r="M117">
        <v>1996355</v>
      </c>
      <c r="N117">
        <v>1903234</v>
      </c>
      <c r="O117">
        <f t="shared" si="0"/>
        <v>51.193984801988101</v>
      </c>
      <c r="P117">
        <v>3662249</v>
      </c>
      <c r="Q117">
        <f>(P117/T117)*100</f>
        <v>93.112010302135815</v>
      </c>
      <c r="R117">
        <v>2011542</v>
      </c>
      <c r="S117">
        <v>1921623</v>
      </c>
      <c r="T117">
        <v>3933165</v>
      </c>
      <c r="U117">
        <v>2.0587</v>
      </c>
      <c r="V117">
        <v>1.454</v>
      </c>
      <c r="W117" t="s">
        <v>14</v>
      </c>
      <c r="X117" t="s">
        <v>10</v>
      </c>
      <c r="Y117">
        <v>27939</v>
      </c>
      <c r="Z117">
        <v>41408</v>
      </c>
      <c r="AA117">
        <v>1</v>
      </c>
      <c r="AB117">
        <v>75.8</v>
      </c>
      <c r="AC117">
        <v>78.900000000000006</v>
      </c>
      <c r="AD117">
        <v>72.5</v>
      </c>
    </row>
    <row r="118" spans="1:30" x14ac:dyDescent="0.35">
      <c r="A118" s="1">
        <v>116</v>
      </c>
      <c r="B118">
        <v>1996</v>
      </c>
      <c r="C118">
        <v>3891494</v>
      </c>
      <c r="D118">
        <v>64.099999999999994</v>
      </c>
      <c r="E118">
        <v>14.4</v>
      </c>
      <c r="F118">
        <v>38</v>
      </c>
      <c r="G118">
        <v>16.32303685936558</v>
      </c>
      <c r="H118">
        <v>127.1881698905356</v>
      </c>
      <c r="I118">
        <v>7.6</v>
      </c>
      <c r="J118">
        <v>28487</v>
      </c>
      <c r="K118">
        <v>15965</v>
      </c>
      <c r="L118">
        <v>12522</v>
      </c>
      <c r="M118">
        <v>1990480</v>
      </c>
      <c r="N118">
        <v>1901014</v>
      </c>
      <c r="O118">
        <f t="shared" si="0"/>
        <v>51.149507104469393</v>
      </c>
      <c r="P118">
        <v>3647307</v>
      </c>
      <c r="Q118">
        <f>(P118/T118)*100</f>
        <v>93.013790996451647</v>
      </c>
      <c r="R118">
        <v>2003895</v>
      </c>
      <c r="S118">
        <v>1917359</v>
      </c>
      <c r="T118">
        <v>3921254</v>
      </c>
      <c r="U118">
        <v>1.9149</v>
      </c>
      <c r="V118">
        <v>1.3119000000000001</v>
      </c>
      <c r="W118" t="s">
        <v>16</v>
      </c>
      <c r="X118" t="s">
        <v>10</v>
      </c>
      <c r="Y118">
        <v>25152</v>
      </c>
      <c r="Z118">
        <v>38369</v>
      </c>
      <c r="AA118">
        <v>1</v>
      </c>
      <c r="AB118">
        <v>76.099999999999994</v>
      </c>
      <c r="AC118">
        <v>79.099999999999994</v>
      </c>
      <c r="AD118">
        <v>73.099999999999994</v>
      </c>
    </row>
    <row r="119" spans="1:30" x14ac:dyDescent="0.35">
      <c r="A119" s="1">
        <v>117</v>
      </c>
      <c r="B119">
        <v>1997</v>
      </c>
      <c r="C119">
        <v>3880894</v>
      </c>
      <c r="D119">
        <v>63.6</v>
      </c>
      <c r="E119">
        <v>14.2</v>
      </c>
      <c r="F119">
        <v>35.5</v>
      </c>
      <c r="G119">
        <v>16.30861342773083</v>
      </c>
      <c r="H119">
        <v>124.9006027992519</v>
      </c>
      <c r="I119">
        <v>7.4</v>
      </c>
      <c r="J119">
        <v>28045</v>
      </c>
      <c r="K119">
        <v>15788</v>
      </c>
      <c r="L119">
        <v>12257</v>
      </c>
      <c r="M119">
        <v>1985596</v>
      </c>
      <c r="N119">
        <v>1895298</v>
      </c>
      <c r="O119">
        <f t="shared" si="0"/>
        <v>51.163365966707673</v>
      </c>
      <c r="P119">
        <v>3625850</v>
      </c>
      <c r="Q119">
        <f>(P119/T119)*100</f>
        <v>92.797457459460858</v>
      </c>
      <c r="R119">
        <v>1997921</v>
      </c>
      <c r="S119">
        <v>1909352</v>
      </c>
      <c r="T119">
        <v>3907273</v>
      </c>
      <c r="U119">
        <v>1.8798999999999999</v>
      </c>
      <c r="V119">
        <v>1.3479000000000001</v>
      </c>
      <c r="W119" t="s">
        <v>16</v>
      </c>
      <c r="X119" t="s">
        <v>10</v>
      </c>
      <c r="Y119">
        <v>25735</v>
      </c>
      <c r="Z119">
        <v>37557</v>
      </c>
      <c r="AA119">
        <v>1</v>
      </c>
      <c r="AB119">
        <v>76.5</v>
      </c>
      <c r="AC119">
        <v>79.400000000000006</v>
      </c>
      <c r="AD119">
        <v>73.599999999999994</v>
      </c>
    </row>
    <row r="120" spans="1:30" x14ac:dyDescent="0.35">
      <c r="A120" s="1">
        <v>118</v>
      </c>
      <c r="B120">
        <v>1998</v>
      </c>
      <c r="C120">
        <v>3941553</v>
      </c>
      <c r="D120">
        <v>64.3</v>
      </c>
      <c r="E120">
        <v>14.3</v>
      </c>
      <c r="F120">
        <v>34.1</v>
      </c>
      <c r="G120">
        <v>15.93356730202537</v>
      </c>
      <c r="H120">
        <v>121.0931325799755</v>
      </c>
      <c r="I120">
        <v>7.5</v>
      </c>
      <c r="J120">
        <v>28371</v>
      </c>
      <c r="K120">
        <v>15786</v>
      </c>
      <c r="L120">
        <v>12585</v>
      </c>
      <c r="M120">
        <v>2016205</v>
      </c>
      <c r="N120">
        <v>1925348</v>
      </c>
      <c r="O120">
        <f t="shared" si="0"/>
        <v>51.152553320987948</v>
      </c>
      <c r="P120">
        <v>3678315</v>
      </c>
      <c r="Q120">
        <f>(P120/T120)*100</f>
        <v>92.737004947062758</v>
      </c>
      <c r="R120">
        <v>2027765</v>
      </c>
      <c r="S120">
        <v>1938629</v>
      </c>
      <c r="T120">
        <v>3966394</v>
      </c>
      <c r="U120">
        <v>1.8059000000000001</v>
      </c>
      <c r="V120">
        <v>1.3508</v>
      </c>
      <c r="W120" t="s">
        <v>16</v>
      </c>
      <c r="X120" t="s">
        <v>10</v>
      </c>
      <c r="Y120">
        <v>26186</v>
      </c>
      <c r="Z120">
        <v>36617</v>
      </c>
      <c r="AA120">
        <v>1</v>
      </c>
      <c r="AB120">
        <v>76.7</v>
      </c>
      <c r="AC120">
        <v>79.5</v>
      </c>
      <c r="AD120">
        <v>73.8</v>
      </c>
    </row>
    <row r="121" spans="1:30" x14ac:dyDescent="0.35">
      <c r="A121" s="1">
        <v>119</v>
      </c>
      <c r="B121">
        <v>1999</v>
      </c>
      <c r="C121">
        <v>3959417</v>
      </c>
      <c r="D121">
        <v>64.400000000000006</v>
      </c>
      <c r="E121">
        <v>14.2</v>
      </c>
      <c r="F121">
        <v>34.200000000000003</v>
      </c>
      <c r="G121">
        <v>15.636392933606141</v>
      </c>
      <c r="H121">
        <v>116.44795180704629</v>
      </c>
      <c r="I121">
        <v>7.3</v>
      </c>
      <c r="J121">
        <v>27855</v>
      </c>
      <c r="K121">
        <v>15646</v>
      </c>
      <c r="L121">
        <v>12291</v>
      </c>
      <c r="M121">
        <v>2026854</v>
      </c>
      <c r="N121">
        <v>1932563</v>
      </c>
      <c r="O121">
        <f t="shared" si="0"/>
        <v>51.190718229476715</v>
      </c>
      <c r="P121">
        <v>3693973</v>
      </c>
      <c r="Q121">
        <f>(P121/T121)*100</f>
        <v>92.672101931025765</v>
      </c>
      <c r="R121">
        <v>2039150</v>
      </c>
      <c r="S121">
        <v>1946918</v>
      </c>
      <c r="T121">
        <v>3986068</v>
      </c>
      <c r="U121">
        <v>1.7346999999999999</v>
      </c>
      <c r="V121">
        <v>1.3633</v>
      </c>
      <c r="W121" t="s">
        <v>16</v>
      </c>
      <c r="X121" t="s">
        <v>17</v>
      </c>
      <c r="Y121">
        <v>26541</v>
      </c>
      <c r="Z121">
        <v>35370</v>
      </c>
      <c r="AA121">
        <v>1</v>
      </c>
      <c r="AB121">
        <v>76.7</v>
      </c>
      <c r="AC121">
        <v>79.400000000000006</v>
      </c>
      <c r="AD121">
        <v>73.900000000000006</v>
      </c>
    </row>
    <row r="122" spans="1:30" x14ac:dyDescent="0.35">
      <c r="A122" s="1">
        <v>120</v>
      </c>
      <c r="B122">
        <v>2000</v>
      </c>
      <c r="C122">
        <v>4058814</v>
      </c>
      <c r="D122">
        <v>65.900000000000006</v>
      </c>
      <c r="E122">
        <v>14.4</v>
      </c>
      <c r="F122">
        <v>32.4</v>
      </c>
      <c r="G122">
        <v>14.893266850858399</v>
      </c>
      <c r="H122">
        <v>110.40220123415359</v>
      </c>
      <c r="I122">
        <v>7.2</v>
      </c>
      <c r="J122">
        <v>27954</v>
      </c>
      <c r="K122">
        <v>15718</v>
      </c>
      <c r="L122">
        <v>12317</v>
      </c>
      <c r="M122">
        <v>2076969</v>
      </c>
      <c r="N122">
        <v>1981845</v>
      </c>
      <c r="O122">
        <f t="shared" si="0"/>
        <v>51.171820142534251</v>
      </c>
      <c r="P122">
        <v>3780037</v>
      </c>
      <c r="Q122">
        <f>(P122/T122)*100</f>
        <v>92.549110533405738</v>
      </c>
      <c r="R122">
        <v>2088476</v>
      </c>
      <c r="S122">
        <v>1995882</v>
      </c>
      <c r="T122">
        <v>4084358</v>
      </c>
      <c r="U122">
        <v>1.6516</v>
      </c>
      <c r="V122">
        <v>1.3007</v>
      </c>
      <c r="W122" t="s">
        <v>16</v>
      </c>
      <c r="X122" t="s">
        <v>17</v>
      </c>
      <c r="Y122">
        <v>25959</v>
      </c>
      <c r="Z122">
        <v>34490</v>
      </c>
      <c r="AA122">
        <v>1</v>
      </c>
      <c r="AB122">
        <v>76.8</v>
      </c>
      <c r="AC122">
        <v>79.7</v>
      </c>
      <c r="AD122">
        <v>74.3</v>
      </c>
    </row>
    <row r="123" spans="1:30" x14ac:dyDescent="0.35">
      <c r="A123" s="1">
        <v>121</v>
      </c>
      <c r="B123">
        <v>2001</v>
      </c>
      <c r="C123">
        <v>4025933</v>
      </c>
      <c r="D123">
        <v>65.099999999999994</v>
      </c>
      <c r="E123">
        <v>14.1</v>
      </c>
      <c r="F123">
        <v>33.4</v>
      </c>
      <c r="G123">
        <v>14.314942648076849</v>
      </c>
      <c r="H123">
        <v>105.04223493038759</v>
      </c>
      <c r="I123">
        <v>6.9</v>
      </c>
      <c r="J123">
        <v>27464</v>
      </c>
      <c r="K123">
        <v>15477</v>
      </c>
      <c r="L123">
        <v>12091</v>
      </c>
      <c r="M123">
        <v>2057922</v>
      </c>
      <c r="N123">
        <v>1968011</v>
      </c>
      <c r="O123">
        <f t="shared" si="0"/>
        <v>51.116647991906476</v>
      </c>
      <c r="P123">
        <v>3743505</v>
      </c>
      <c r="Q123">
        <f>(P123/T123)*100</f>
        <v>92.440713072904472</v>
      </c>
      <c r="R123">
        <v>2068535</v>
      </c>
      <c r="S123">
        <v>1981093</v>
      </c>
      <c r="T123">
        <v>4049628</v>
      </c>
      <c r="U123">
        <v>1.5747</v>
      </c>
      <c r="V123">
        <v>1.2649999999999999</v>
      </c>
      <c r="W123" t="s">
        <v>16</v>
      </c>
      <c r="X123" t="s">
        <v>17</v>
      </c>
      <c r="Y123">
        <v>25059</v>
      </c>
      <c r="Z123">
        <v>32572</v>
      </c>
      <c r="AA123">
        <v>1</v>
      </c>
      <c r="AB123">
        <v>77</v>
      </c>
      <c r="AC123">
        <v>79.5</v>
      </c>
      <c r="AD123">
        <v>74.3</v>
      </c>
    </row>
    <row r="124" spans="1:30" x14ac:dyDescent="0.35">
      <c r="A124" s="1">
        <v>122</v>
      </c>
      <c r="B124">
        <v>2002</v>
      </c>
      <c r="C124">
        <v>4021726</v>
      </c>
      <c r="D124">
        <v>65</v>
      </c>
      <c r="E124">
        <v>14</v>
      </c>
      <c r="F124">
        <v>31.4</v>
      </c>
      <c r="G124">
        <v>13.689147395919059</v>
      </c>
      <c r="H124">
        <v>102.5591997067926</v>
      </c>
      <c r="I124">
        <v>7</v>
      </c>
      <c r="J124">
        <v>27960</v>
      </c>
      <c r="K124">
        <v>15717</v>
      </c>
      <c r="L124">
        <v>12317</v>
      </c>
      <c r="M124">
        <v>2057979</v>
      </c>
      <c r="N124">
        <v>1963747</v>
      </c>
      <c r="O124">
        <f t="shared" si="0"/>
        <v>51.171536797882297</v>
      </c>
      <c r="P124">
        <v>3738396</v>
      </c>
      <c r="Q124">
        <f>(P124/T124)*100</f>
        <v>92.489156931139988</v>
      </c>
      <c r="R124">
        <v>2066797</v>
      </c>
      <c r="S124">
        <v>1975186</v>
      </c>
      <c r="T124">
        <v>4041983</v>
      </c>
      <c r="U124">
        <v>1.4799</v>
      </c>
      <c r="V124">
        <v>1.2388999999999999</v>
      </c>
      <c r="W124" t="s">
        <v>16</v>
      </c>
      <c r="X124" t="s">
        <v>17</v>
      </c>
      <c r="Y124">
        <v>24469</v>
      </c>
      <c r="Z124">
        <v>30585</v>
      </c>
      <c r="AA124">
        <v>1</v>
      </c>
      <c r="AB124">
        <v>77</v>
      </c>
      <c r="AC124">
        <v>79.599999999999994</v>
      </c>
      <c r="AD124">
        <v>74.400000000000006</v>
      </c>
    </row>
    <row r="125" spans="1:30" x14ac:dyDescent="0.35">
      <c r="A125" s="1">
        <v>123</v>
      </c>
      <c r="B125">
        <v>2003</v>
      </c>
      <c r="C125">
        <v>4089950</v>
      </c>
      <c r="D125">
        <v>66.099999999999994</v>
      </c>
      <c r="E125">
        <v>14.1</v>
      </c>
      <c r="F125">
        <v>31.8</v>
      </c>
      <c r="G125">
        <v>13.531705766574159</v>
      </c>
      <c r="H125">
        <v>99.873103583173389</v>
      </c>
      <c r="I125">
        <v>7</v>
      </c>
      <c r="J125">
        <v>27928</v>
      </c>
      <c r="K125">
        <v>15902</v>
      </c>
      <c r="L125">
        <v>12123</v>
      </c>
      <c r="M125">
        <v>2093535</v>
      </c>
      <c r="N125">
        <v>1996415</v>
      </c>
      <c r="O125">
        <f t="shared" si="0"/>
        <v>51.187300578246678</v>
      </c>
      <c r="P125">
        <v>3802494</v>
      </c>
      <c r="Q125">
        <f>(P125/T125)*100</f>
        <v>92.560193431027386</v>
      </c>
      <c r="R125">
        <v>2101436</v>
      </c>
      <c r="S125">
        <v>2006695</v>
      </c>
      <c r="T125">
        <v>4108131</v>
      </c>
      <c r="U125">
        <v>1.4112</v>
      </c>
      <c r="V125">
        <v>1.2805</v>
      </c>
      <c r="W125" t="s">
        <v>16</v>
      </c>
      <c r="X125" t="s">
        <v>17</v>
      </c>
      <c r="Y125">
        <v>25692</v>
      </c>
      <c r="Z125">
        <v>29652</v>
      </c>
      <c r="AA125">
        <v>1</v>
      </c>
      <c r="AB125">
        <v>77.599999999999994</v>
      </c>
      <c r="AC125">
        <v>79.7</v>
      </c>
      <c r="AD125">
        <v>74.5</v>
      </c>
    </row>
    <row r="126" spans="1:30" x14ac:dyDescent="0.35">
      <c r="A126" s="1">
        <v>124</v>
      </c>
      <c r="B126">
        <v>2004</v>
      </c>
      <c r="C126">
        <v>4112052</v>
      </c>
      <c r="D126">
        <v>66.400000000000006</v>
      </c>
      <c r="E126">
        <v>14</v>
      </c>
      <c r="F126">
        <v>30.3</v>
      </c>
      <c r="G126">
        <v>12.874837185911071</v>
      </c>
      <c r="H126">
        <v>96.446980728842917</v>
      </c>
      <c r="I126">
        <v>6.9</v>
      </c>
      <c r="J126">
        <v>27842</v>
      </c>
      <c r="K126">
        <v>15718</v>
      </c>
      <c r="L126">
        <v>12218</v>
      </c>
      <c r="M126">
        <v>2104661</v>
      </c>
      <c r="N126">
        <v>2007391</v>
      </c>
      <c r="O126">
        <f t="shared" si="0"/>
        <v>51.182742825236652</v>
      </c>
      <c r="P126">
        <v>3821229</v>
      </c>
      <c r="Q126">
        <f>(P126/T126)*100</f>
        <v>92.483106084423468</v>
      </c>
      <c r="R126">
        <v>2113723</v>
      </c>
      <c r="S126">
        <v>2018090</v>
      </c>
      <c r="T126">
        <v>4131813</v>
      </c>
      <c r="U126">
        <v>1.3203</v>
      </c>
      <c r="V126">
        <v>1.2408999999999999</v>
      </c>
      <c r="W126" t="s">
        <v>16</v>
      </c>
      <c r="X126" t="s">
        <v>17</v>
      </c>
      <c r="Y126">
        <v>25040</v>
      </c>
      <c r="Z126">
        <v>27902</v>
      </c>
      <c r="AA126">
        <v>1</v>
      </c>
      <c r="AB126">
        <v>77.5</v>
      </c>
      <c r="AC126">
        <v>80.099999999999994</v>
      </c>
      <c r="AD126">
        <v>75</v>
      </c>
    </row>
    <row r="127" spans="1:30" x14ac:dyDescent="0.35">
      <c r="A127" s="1">
        <v>125</v>
      </c>
      <c r="B127">
        <v>2005</v>
      </c>
      <c r="C127">
        <v>4138349</v>
      </c>
      <c r="D127">
        <v>66.7</v>
      </c>
      <c r="E127">
        <v>14</v>
      </c>
      <c r="F127">
        <v>29.9</v>
      </c>
      <c r="G127">
        <v>12.0325762761913</v>
      </c>
      <c r="H127">
        <v>91.919023745943136</v>
      </c>
      <c r="I127">
        <v>7</v>
      </c>
      <c r="J127">
        <v>28368</v>
      </c>
      <c r="K127">
        <v>16018</v>
      </c>
      <c r="L127">
        <v>12422</v>
      </c>
      <c r="M127">
        <v>2118982</v>
      </c>
      <c r="N127">
        <v>2019367</v>
      </c>
      <c r="O127">
        <f t="shared" ref="O127:O146" si="1">M127/C127 * 100</f>
        <v>51.203559680442609</v>
      </c>
      <c r="P127">
        <v>3845147</v>
      </c>
      <c r="Q127">
        <f>(P127/T127)*100</f>
        <v>92.486332028872908</v>
      </c>
      <c r="R127">
        <v>2127675</v>
      </c>
      <c r="S127">
        <v>2029855</v>
      </c>
      <c r="T127">
        <v>4157530</v>
      </c>
      <c r="U127">
        <v>1.2149000000000001</v>
      </c>
      <c r="V127">
        <v>1.18</v>
      </c>
      <c r="W127" t="s">
        <v>16</v>
      </c>
      <c r="X127" t="s">
        <v>17</v>
      </c>
      <c r="Y127">
        <v>23949</v>
      </c>
      <c r="Z127">
        <v>25846</v>
      </c>
      <c r="AA127">
        <v>1</v>
      </c>
      <c r="AB127">
        <v>77.599999999999994</v>
      </c>
      <c r="AC127">
        <v>80.099999999999994</v>
      </c>
      <c r="AD127">
        <v>75</v>
      </c>
    </row>
    <row r="128" spans="1:30" x14ac:dyDescent="0.35">
      <c r="A128" s="1">
        <v>126</v>
      </c>
      <c r="B128">
        <v>2006</v>
      </c>
      <c r="C128">
        <v>4265555</v>
      </c>
      <c r="D128">
        <v>68.599999999999994</v>
      </c>
      <c r="E128">
        <v>14.3</v>
      </c>
      <c r="F128">
        <v>29.1</v>
      </c>
      <c r="G128">
        <v>10.84806080334212</v>
      </c>
      <c r="H128">
        <v>87.81436413315501</v>
      </c>
      <c r="I128">
        <v>7</v>
      </c>
      <c r="J128">
        <v>28466</v>
      </c>
      <c r="K128">
        <v>15980</v>
      </c>
      <c r="L128">
        <v>12547</v>
      </c>
      <c r="M128">
        <v>2184237</v>
      </c>
      <c r="N128">
        <v>2081318</v>
      </c>
      <c r="O128">
        <f t="shared" si="1"/>
        <v>51.206396354050057</v>
      </c>
      <c r="P128">
        <v>3956482</v>
      </c>
      <c r="Q128">
        <f>(P128/T128)*100</f>
        <v>92.363630251520163</v>
      </c>
      <c r="R128">
        <v>2192756</v>
      </c>
      <c r="S128">
        <v>2090837</v>
      </c>
      <c r="T128">
        <v>4283593</v>
      </c>
      <c r="U128">
        <v>1.1339999999999999</v>
      </c>
      <c r="V128">
        <v>1.0242</v>
      </c>
      <c r="W128" t="s">
        <v>16</v>
      </c>
      <c r="X128" t="s">
        <v>17</v>
      </c>
      <c r="Y128">
        <v>21411</v>
      </c>
      <c r="Z128">
        <v>24862</v>
      </c>
      <c r="AA128">
        <v>1</v>
      </c>
      <c r="AB128">
        <v>77.8</v>
      </c>
      <c r="AC128">
        <v>80.3</v>
      </c>
      <c r="AD128">
        <v>75.2</v>
      </c>
    </row>
    <row r="129" spans="1:30" x14ac:dyDescent="0.35">
      <c r="A129" s="1">
        <v>127</v>
      </c>
      <c r="B129">
        <v>2007</v>
      </c>
      <c r="C129">
        <v>4316233</v>
      </c>
      <c r="D129">
        <v>69.3</v>
      </c>
      <c r="E129">
        <v>14.3</v>
      </c>
      <c r="F129">
        <v>29.4</v>
      </c>
      <c r="G129">
        <v>10.116460348641979</v>
      </c>
      <c r="H129">
        <v>86.288205479175943</v>
      </c>
      <c r="I129">
        <v>7</v>
      </c>
      <c r="J129">
        <v>29071</v>
      </c>
      <c r="K129">
        <v>16293</v>
      </c>
      <c r="L129">
        <v>12845</v>
      </c>
      <c r="M129">
        <v>2208071</v>
      </c>
      <c r="N129">
        <v>2108162</v>
      </c>
      <c r="O129">
        <f t="shared" si="1"/>
        <v>51.157363376814921</v>
      </c>
      <c r="P129">
        <v>3998031</v>
      </c>
      <c r="Q129">
        <f>(P129/T129)*100</f>
        <v>92.282129997230172</v>
      </c>
      <c r="R129">
        <v>2215517</v>
      </c>
      <c r="S129">
        <v>2116883</v>
      </c>
      <c r="T129">
        <v>4332400</v>
      </c>
      <c r="U129">
        <v>1.0971</v>
      </c>
      <c r="V129">
        <v>0.91490000000000005</v>
      </c>
      <c r="W129" t="s">
        <v>16</v>
      </c>
      <c r="X129" t="s">
        <v>17</v>
      </c>
      <c r="Y129">
        <v>19363</v>
      </c>
      <c r="Z129">
        <v>24302</v>
      </c>
      <c r="AA129">
        <v>1</v>
      </c>
      <c r="AB129">
        <v>78.099999999999994</v>
      </c>
      <c r="AC129">
        <v>80.599999999999994</v>
      </c>
      <c r="AD129">
        <v>75.5</v>
      </c>
    </row>
    <row r="130" spans="1:30" x14ac:dyDescent="0.35">
      <c r="A130" s="1">
        <v>128</v>
      </c>
      <c r="B130">
        <v>2008</v>
      </c>
      <c r="C130">
        <v>4247694</v>
      </c>
      <c r="D130">
        <v>68.099999999999994</v>
      </c>
      <c r="E130">
        <v>14</v>
      </c>
      <c r="F130">
        <v>29.3</v>
      </c>
      <c r="G130">
        <v>9.7568233493278935</v>
      </c>
      <c r="H130">
        <v>83.321209107812379</v>
      </c>
      <c r="I130">
        <v>6.8</v>
      </c>
      <c r="J130">
        <v>28059</v>
      </c>
      <c r="K130">
        <v>15669</v>
      </c>
      <c r="L130">
        <v>12390</v>
      </c>
      <c r="M130">
        <v>2173389</v>
      </c>
      <c r="N130">
        <v>2074305</v>
      </c>
      <c r="O130">
        <f t="shared" si="1"/>
        <v>51.166326952930227</v>
      </c>
      <c r="P130">
        <v>3931088</v>
      </c>
      <c r="Q130">
        <f>(P130/T130)*100</f>
        <v>92.185339271271388</v>
      </c>
      <c r="R130">
        <v>2180937</v>
      </c>
      <c r="S130">
        <v>2083394</v>
      </c>
      <c r="T130">
        <v>4264331</v>
      </c>
      <c r="U130">
        <v>1.0373000000000001</v>
      </c>
      <c r="V130">
        <v>0.90380000000000005</v>
      </c>
      <c r="W130" t="s">
        <v>18</v>
      </c>
      <c r="X130" t="s">
        <v>17</v>
      </c>
      <c r="Y130">
        <v>18826</v>
      </c>
      <c r="Z130">
        <v>22618</v>
      </c>
      <c r="AA130">
        <v>1</v>
      </c>
      <c r="AB130">
        <v>78.2</v>
      </c>
      <c r="AC130">
        <v>80.599999999999994</v>
      </c>
      <c r="AD130">
        <v>75.599999999999994</v>
      </c>
    </row>
    <row r="131" spans="1:30" x14ac:dyDescent="0.35">
      <c r="A131" s="1">
        <v>129</v>
      </c>
      <c r="B131">
        <v>2009</v>
      </c>
      <c r="C131">
        <v>4130665</v>
      </c>
      <c r="D131">
        <v>66.2</v>
      </c>
      <c r="E131">
        <v>13.5</v>
      </c>
      <c r="F131">
        <v>27.4</v>
      </c>
      <c r="G131">
        <v>10.535107543216411</v>
      </c>
      <c r="H131">
        <v>82.601227647364283</v>
      </c>
      <c r="I131">
        <v>6.5</v>
      </c>
      <c r="J131">
        <v>26412</v>
      </c>
      <c r="K131">
        <v>14823</v>
      </c>
      <c r="L131">
        <v>11589</v>
      </c>
      <c r="M131">
        <v>2113856</v>
      </c>
      <c r="N131">
        <v>2016809</v>
      </c>
      <c r="O131">
        <f t="shared" si="1"/>
        <v>51.174713998835543</v>
      </c>
      <c r="P131">
        <v>3820687</v>
      </c>
      <c r="Q131">
        <f>(P131/T131)*100</f>
        <v>92.125927483408248</v>
      </c>
      <c r="R131">
        <v>2121574</v>
      </c>
      <c r="S131">
        <v>2025670</v>
      </c>
      <c r="T131">
        <v>4147244</v>
      </c>
      <c r="U131">
        <v>0.99950000000000006</v>
      </c>
      <c r="V131">
        <v>1.1021000000000001</v>
      </c>
      <c r="W131" t="s">
        <v>19</v>
      </c>
      <c r="X131" t="s">
        <v>17</v>
      </c>
      <c r="Y131">
        <v>22318</v>
      </c>
      <c r="Z131">
        <v>21199</v>
      </c>
      <c r="AA131">
        <v>1</v>
      </c>
      <c r="AB131">
        <v>78.5</v>
      </c>
      <c r="AC131">
        <v>80.900000000000006</v>
      </c>
      <c r="AD131">
        <v>76</v>
      </c>
    </row>
    <row r="132" spans="1:30" x14ac:dyDescent="0.35">
      <c r="A132" s="1">
        <v>130</v>
      </c>
      <c r="B132">
        <v>2010</v>
      </c>
      <c r="C132">
        <v>3999386</v>
      </c>
      <c r="D132">
        <v>64.099999999999994</v>
      </c>
      <c r="E132">
        <v>13</v>
      </c>
      <c r="F132">
        <v>26.5</v>
      </c>
      <c r="G132">
        <v>11.27223028734911</v>
      </c>
      <c r="H132">
        <v>82.392647271356154</v>
      </c>
      <c r="I132">
        <v>6.2</v>
      </c>
      <c r="J132">
        <v>24586</v>
      </c>
      <c r="K132">
        <v>13702</v>
      </c>
      <c r="L132">
        <v>10884</v>
      </c>
      <c r="M132">
        <v>2046935</v>
      </c>
      <c r="N132">
        <v>1952451</v>
      </c>
      <c r="O132">
        <f t="shared" si="1"/>
        <v>51.181231319007466</v>
      </c>
      <c r="P132">
        <v>3696271</v>
      </c>
      <c r="Q132">
        <f>(P132/T132)*100</f>
        <v>92.03208935620853</v>
      </c>
      <c r="R132">
        <v>2054992</v>
      </c>
      <c r="S132">
        <v>1961293</v>
      </c>
      <c r="T132">
        <v>4016285</v>
      </c>
      <c r="U132">
        <v>1.0781000000000001</v>
      </c>
      <c r="V132">
        <v>1.1697</v>
      </c>
      <c r="W132" t="s">
        <v>19</v>
      </c>
      <c r="X132" t="s">
        <v>17</v>
      </c>
      <c r="Y132">
        <v>22934</v>
      </c>
      <c r="Z132">
        <v>22148</v>
      </c>
      <c r="AA132">
        <v>1</v>
      </c>
      <c r="AB132">
        <v>78.7</v>
      </c>
      <c r="AC132">
        <v>81</v>
      </c>
      <c r="AD132">
        <v>76.2</v>
      </c>
    </row>
    <row r="133" spans="1:30" x14ac:dyDescent="0.35">
      <c r="A133" s="1">
        <v>131</v>
      </c>
      <c r="B133">
        <v>2011</v>
      </c>
      <c r="C133">
        <v>3953590</v>
      </c>
      <c r="D133">
        <v>63.2</v>
      </c>
      <c r="E133">
        <v>12.7</v>
      </c>
      <c r="F133">
        <v>26.3</v>
      </c>
      <c r="G133">
        <v>10.687248804251331</v>
      </c>
      <c r="H133">
        <v>82.747072913478632</v>
      </c>
      <c r="I133">
        <v>6</v>
      </c>
      <c r="J133">
        <v>23985</v>
      </c>
      <c r="K133">
        <v>13327</v>
      </c>
      <c r="L133">
        <v>10658</v>
      </c>
      <c r="M133">
        <v>2024052</v>
      </c>
      <c r="N133">
        <v>1929538</v>
      </c>
      <c r="O133">
        <f t="shared" si="1"/>
        <v>51.19529339157576</v>
      </c>
      <c r="P133">
        <v>3658318</v>
      </c>
      <c r="Q133">
        <f>(P133/T133)*100</f>
        <v>92.141292863196682</v>
      </c>
      <c r="R133">
        <v>2032055</v>
      </c>
      <c r="S133">
        <v>1938280</v>
      </c>
      <c r="T133">
        <v>3970335</v>
      </c>
      <c r="U133">
        <v>1.0039</v>
      </c>
      <c r="V133">
        <v>1.1281000000000001</v>
      </c>
      <c r="W133" t="s">
        <v>20</v>
      </c>
      <c r="X133" t="s">
        <v>17</v>
      </c>
      <c r="Y133">
        <v>21859</v>
      </c>
      <c r="Z133">
        <v>20394</v>
      </c>
      <c r="AA133">
        <v>1</v>
      </c>
      <c r="AB133">
        <v>78.7</v>
      </c>
      <c r="AC133">
        <v>81.099999999999994</v>
      </c>
      <c r="AD133">
        <v>76.3</v>
      </c>
    </row>
    <row r="134" spans="1:30" x14ac:dyDescent="0.35">
      <c r="A134" s="1">
        <v>132</v>
      </c>
      <c r="B134">
        <v>2012</v>
      </c>
      <c r="C134">
        <v>3952841</v>
      </c>
      <c r="D134">
        <v>63</v>
      </c>
      <c r="E134">
        <v>12.6</v>
      </c>
      <c r="F134">
        <v>26.3</v>
      </c>
      <c r="G134">
        <v>10.48208111583542</v>
      </c>
      <c r="H134">
        <v>82.038462968786249</v>
      </c>
      <c r="I134">
        <v>6</v>
      </c>
      <c r="J134">
        <v>23629</v>
      </c>
      <c r="K134">
        <v>13139</v>
      </c>
      <c r="L134">
        <v>10490</v>
      </c>
      <c r="M134">
        <v>2021434</v>
      </c>
      <c r="N134">
        <v>1931407</v>
      </c>
      <c r="O134">
        <f t="shared" si="1"/>
        <v>51.138763233836116</v>
      </c>
      <c r="P134">
        <v>3657999</v>
      </c>
      <c r="Q134">
        <f>(P134/T134)*100</f>
        <v>92.138642246813234</v>
      </c>
      <c r="R134">
        <v>2029895</v>
      </c>
      <c r="S134">
        <v>1940208</v>
      </c>
      <c r="T134">
        <v>3970103</v>
      </c>
      <c r="U134">
        <v>0.94130000000000003</v>
      </c>
      <c r="V134">
        <v>1.1515</v>
      </c>
      <c r="W134" t="s">
        <v>20</v>
      </c>
      <c r="X134" t="s">
        <v>17</v>
      </c>
      <c r="Y134">
        <v>22333</v>
      </c>
      <c r="Z134">
        <v>19101</v>
      </c>
      <c r="AA134">
        <v>1</v>
      </c>
      <c r="AB134">
        <v>78.8</v>
      </c>
      <c r="AC134">
        <v>81.2</v>
      </c>
      <c r="AD134">
        <v>76.400000000000006</v>
      </c>
    </row>
    <row r="135" spans="1:30" x14ac:dyDescent="0.35">
      <c r="A135" s="1">
        <v>133</v>
      </c>
      <c r="B135">
        <v>2013</v>
      </c>
      <c r="C135">
        <v>3932181</v>
      </c>
      <c r="D135">
        <v>62.5</v>
      </c>
      <c r="E135">
        <v>12.4</v>
      </c>
      <c r="F135">
        <v>25.5</v>
      </c>
      <c r="G135">
        <v>10.05370810753625</v>
      </c>
      <c r="H135">
        <v>80.679399040888498</v>
      </c>
      <c r="I135">
        <v>5.9</v>
      </c>
      <c r="J135">
        <v>23440</v>
      </c>
      <c r="K135">
        <v>13119</v>
      </c>
      <c r="L135">
        <v>10321</v>
      </c>
      <c r="M135">
        <v>2012954</v>
      </c>
      <c r="N135">
        <v>1919227</v>
      </c>
      <c r="O135">
        <f t="shared" si="1"/>
        <v>51.191794070517105</v>
      </c>
      <c r="P135">
        <v>3646327</v>
      </c>
      <c r="Q135">
        <f>(P135/T135)*100</f>
        <v>92.312613465850561</v>
      </c>
      <c r="R135">
        <v>2021489</v>
      </c>
      <c r="S135">
        <v>1928488</v>
      </c>
      <c r="T135">
        <v>3949977</v>
      </c>
      <c r="U135">
        <v>0.90480000000000005</v>
      </c>
      <c r="V135">
        <v>1.1023000000000001</v>
      </c>
      <c r="W135" t="s">
        <v>20</v>
      </c>
      <c r="X135" t="s">
        <v>21</v>
      </c>
      <c r="Y135">
        <v>21249</v>
      </c>
      <c r="Z135">
        <v>18284</v>
      </c>
      <c r="AA135">
        <v>1</v>
      </c>
      <c r="AB135">
        <v>78.8</v>
      </c>
      <c r="AC135">
        <v>81.2</v>
      </c>
      <c r="AD135">
        <v>76.400000000000006</v>
      </c>
    </row>
    <row r="136" spans="1:30" x14ac:dyDescent="0.35">
      <c r="A136" s="1">
        <v>134</v>
      </c>
      <c r="B136">
        <v>2014</v>
      </c>
      <c r="C136">
        <v>3988076</v>
      </c>
      <c r="D136">
        <v>62.9</v>
      </c>
      <c r="E136">
        <v>12.5</v>
      </c>
      <c r="F136">
        <v>24</v>
      </c>
      <c r="G136">
        <v>10.103618887904849</v>
      </c>
      <c r="H136">
        <v>78.962136127796967</v>
      </c>
      <c r="I136">
        <v>5.8</v>
      </c>
      <c r="J136">
        <v>23215</v>
      </c>
      <c r="K136">
        <v>12886</v>
      </c>
      <c r="L136">
        <v>10329</v>
      </c>
      <c r="M136">
        <v>2040701</v>
      </c>
      <c r="N136">
        <v>1947375</v>
      </c>
      <c r="O136">
        <f t="shared" si="1"/>
        <v>51.170062957676834</v>
      </c>
      <c r="P136">
        <v>3707226</v>
      </c>
      <c r="Q136">
        <f>(P136/T136)*100</f>
        <v>92.507683758292941</v>
      </c>
      <c r="R136">
        <v>2050210</v>
      </c>
      <c r="S136">
        <v>1957269</v>
      </c>
      <c r="T136">
        <v>4007479</v>
      </c>
      <c r="U136">
        <v>0.94340000000000002</v>
      </c>
      <c r="V136">
        <v>1.0713999999999999</v>
      </c>
      <c r="W136" t="s">
        <v>18</v>
      </c>
      <c r="X136" t="s">
        <v>21</v>
      </c>
      <c r="Y136">
        <v>20961</v>
      </c>
      <c r="Z136">
        <v>19333</v>
      </c>
      <c r="AA136">
        <v>1</v>
      </c>
      <c r="AB136">
        <v>78.900000000000006</v>
      </c>
      <c r="AC136">
        <v>81.3</v>
      </c>
      <c r="AD136">
        <v>76.5</v>
      </c>
    </row>
    <row r="137" spans="1:30" x14ac:dyDescent="0.35">
      <c r="A137" s="1">
        <v>135</v>
      </c>
      <c r="B137">
        <v>2015</v>
      </c>
      <c r="C137">
        <v>3978497</v>
      </c>
      <c r="D137">
        <v>62.5</v>
      </c>
      <c r="E137">
        <v>12.4</v>
      </c>
      <c r="F137">
        <v>24.9</v>
      </c>
      <c r="G137">
        <v>10.09351018738986</v>
      </c>
      <c r="H137">
        <v>77.923899402211433</v>
      </c>
      <c r="I137">
        <v>5.9</v>
      </c>
      <c r="J137">
        <v>23455</v>
      </c>
      <c r="K137">
        <v>13008</v>
      </c>
      <c r="L137">
        <v>10447</v>
      </c>
      <c r="M137">
        <v>2036161</v>
      </c>
      <c r="N137">
        <v>1942336</v>
      </c>
      <c r="O137">
        <f t="shared" si="1"/>
        <v>51.179151322723129</v>
      </c>
      <c r="P137">
        <v>3701841</v>
      </c>
      <c r="Q137">
        <f>(P137/T137)*100</f>
        <v>92.604759568756478</v>
      </c>
      <c r="R137">
        <v>2045521</v>
      </c>
      <c r="S137">
        <v>1951942</v>
      </c>
      <c r="T137">
        <v>3997463</v>
      </c>
      <c r="U137">
        <v>0.96240000000000003</v>
      </c>
      <c r="V137">
        <v>1.0499000000000001</v>
      </c>
      <c r="W137" t="s">
        <v>18</v>
      </c>
      <c r="X137" t="s">
        <v>21</v>
      </c>
      <c r="Y137">
        <v>20482</v>
      </c>
      <c r="Z137">
        <v>19675</v>
      </c>
      <c r="AA137">
        <v>1</v>
      </c>
      <c r="AB137">
        <v>78.7</v>
      </c>
      <c r="AC137">
        <v>81.099999999999994</v>
      </c>
      <c r="AD137">
        <v>76.3</v>
      </c>
    </row>
    <row r="138" spans="1:30" x14ac:dyDescent="0.35">
      <c r="A138" s="1">
        <v>136</v>
      </c>
      <c r="B138">
        <v>2016</v>
      </c>
      <c r="C138">
        <v>3945875</v>
      </c>
      <c r="D138">
        <v>62</v>
      </c>
      <c r="E138">
        <v>12.2</v>
      </c>
      <c r="F138">
        <v>25.3</v>
      </c>
      <c r="G138">
        <v>9.8125257389045526</v>
      </c>
      <c r="H138">
        <v>76.563499857446061</v>
      </c>
      <c r="I138">
        <v>5.8</v>
      </c>
      <c r="J138">
        <v>23161</v>
      </c>
      <c r="K138">
        <v>12867</v>
      </c>
      <c r="L138">
        <v>10294</v>
      </c>
      <c r="M138">
        <v>2018183</v>
      </c>
      <c r="N138">
        <v>1927692</v>
      </c>
      <c r="O138">
        <f t="shared" si="1"/>
        <v>51.146653150441914</v>
      </c>
      <c r="P138">
        <v>3669760</v>
      </c>
      <c r="Q138">
        <f>(P138/T138)*100</f>
        <v>92.580464496727927</v>
      </c>
      <c r="R138">
        <v>2026829</v>
      </c>
      <c r="S138">
        <v>1937031</v>
      </c>
      <c r="T138">
        <v>3963860</v>
      </c>
      <c r="U138">
        <v>0.94669999999999999</v>
      </c>
      <c r="V138">
        <v>1.0095000000000001</v>
      </c>
      <c r="W138" t="s">
        <v>18</v>
      </c>
      <c r="X138" t="s">
        <v>21</v>
      </c>
      <c r="Y138">
        <v>19542</v>
      </c>
      <c r="Z138">
        <v>19177</v>
      </c>
      <c r="AA138">
        <v>1</v>
      </c>
      <c r="AB138">
        <v>78.7</v>
      </c>
      <c r="AC138">
        <v>81.099999999999994</v>
      </c>
      <c r="AD138">
        <v>76.2</v>
      </c>
    </row>
    <row r="139" spans="1:30" x14ac:dyDescent="0.35">
      <c r="A139" s="1">
        <v>137</v>
      </c>
      <c r="B139">
        <v>2017</v>
      </c>
      <c r="C139">
        <v>3855500</v>
      </c>
      <c r="D139">
        <v>60.3</v>
      </c>
      <c r="E139">
        <v>11.8</v>
      </c>
      <c r="F139">
        <v>24.3</v>
      </c>
      <c r="G139">
        <v>10.042796005706141</v>
      </c>
      <c r="H139">
        <v>75.91207366100376</v>
      </c>
      <c r="I139">
        <v>5.7</v>
      </c>
      <c r="J139">
        <v>22335</v>
      </c>
      <c r="K139">
        <v>12468</v>
      </c>
      <c r="L139">
        <v>9867</v>
      </c>
      <c r="M139">
        <v>1972885</v>
      </c>
      <c r="N139">
        <v>1882615</v>
      </c>
      <c r="O139">
        <f t="shared" si="1"/>
        <v>51.17066528336143</v>
      </c>
      <c r="P139">
        <v>3577417</v>
      </c>
      <c r="Q139">
        <f>(P139/T139)*100</f>
        <v>92.412135396283531</v>
      </c>
      <c r="R139">
        <v>1980609</v>
      </c>
      <c r="S139">
        <v>1890546</v>
      </c>
      <c r="T139">
        <v>3871155</v>
      </c>
      <c r="U139">
        <v>0.95269999999999999</v>
      </c>
      <c r="V139">
        <v>1.0515000000000001</v>
      </c>
      <c r="W139" t="s">
        <v>18</v>
      </c>
      <c r="X139" t="s">
        <v>22</v>
      </c>
      <c r="Y139">
        <v>19865</v>
      </c>
      <c r="Z139">
        <v>18855</v>
      </c>
      <c r="AA139">
        <v>1</v>
      </c>
      <c r="AB139">
        <v>78.599999999999994</v>
      </c>
      <c r="AC139">
        <v>81.099999999999994</v>
      </c>
      <c r="AD139">
        <v>76.099999999999994</v>
      </c>
    </row>
    <row r="140" spans="1:30" x14ac:dyDescent="0.35">
      <c r="A140" s="1">
        <v>138</v>
      </c>
      <c r="B140">
        <v>2018</v>
      </c>
      <c r="C140">
        <v>3791712</v>
      </c>
      <c r="D140">
        <v>59.1</v>
      </c>
      <c r="E140">
        <v>11.6</v>
      </c>
      <c r="F140">
        <v>24</v>
      </c>
      <c r="G140">
        <v>10.22757002641551</v>
      </c>
      <c r="H140">
        <v>74.877786076579667</v>
      </c>
      <c r="I140">
        <v>5.6</v>
      </c>
      <c r="J140">
        <v>21467</v>
      </c>
      <c r="K140">
        <v>12068</v>
      </c>
      <c r="L140">
        <v>9399</v>
      </c>
      <c r="M140">
        <v>1938179</v>
      </c>
      <c r="N140">
        <v>1853533</v>
      </c>
      <c r="O140">
        <f t="shared" si="1"/>
        <v>51.116197643702897</v>
      </c>
      <c r="P140">
        <v>3517232</v>
      </c>
      <c r="Q140">
        <f>(P140/T140)*100</f>
        <v>92.396653659659137</v>
      </c>
      <c r="R140">
        <v>1945371</v>
      </c>
      <c r="S140">
        <v>1861295</v>
      </c>
      <c r="T140">
        <v>3806666</v>
      </c>
      <c r="U140">
        <v>1.0271999999999999</v>
      </c>
      <c r="V140">
        <v>1.0117</v>
      </c>
      <c r="W140" t="s">
        <v>18</v>
      </c>
      <c r="X140" t="s">
        <v>22</v>
      </c>
      <c r="Y140">
        <v>18814</v>
      </c>
      <c r="Z140">
        <v>19966</v>
      </c>
      <c r="AA140">
        <v>1</v>
      </c>
      <c r="AB140">
        <v>78.7</v>
      </c>
      <c r="AC140">
        <v>81.2</v>
      </c>
      <c r="AD140">
        <v>76.2</v>
      </c>
    </row>
    <row r="141" spans="1:30" x14ac:dyDescent="0.35">
      <c r="A141" s="1">
        <v>139</v>
      </c>
      <c r="B141">
        <v>2019</v>
      </c>
      <c r="C141">
        <v>3747540</v>
      </c>
      <c r="D141">
        <v>58.3</v>
      </c>
      <c r="E141">
        <v>11.4</v>
      </c>
      <c r="F141">
        <v>23.3</v>
      </c>
      <c r="G141">
        <v>10.452723653383289</v>
      </c>
      <c r="H141">
        <v>74.541432513061906</v>
      </c>
      <c r="I141">
        <v>5.5</v>
      </c>
      <c r="J141">
        <v>20921</v>
      </c>
      <c r="K141">
        <v>11674</v>
      </c>
      <c r="L141">
        <v>9247</v>
      </c>
      <c r="M141">
        <v>1917446</v>
      </c>
      <c r="N141">
        <v>1830094</v>
      </c>
      <c r="O141">
        <f t="shared" si="1"/>
        <v>51.165457873698486</v>
      </c>
      <c r="P141">
        <v>3472582</v>
      </c>
      <c r="Q141">
        <f>(P141/T141)*100</f>
        <v>92.33873809097723</v>
      </c>
      <c r="R141">
        <v>1923875</v>
      </c>
      <c r="S141">
        <v>1836824</v>
      </c>
      <c r="T141">
        <v>3760699</v>
      </c>
      <c r="U141">
        <v>1.0725</v>
      </c>
      <c r="V141">
        <v>1.0116000000000001</v>
      </c>
      <c r="W141" t="s">
        <v>23</v>
      </c>
      <c r="X141" t="s">
        <v>22</v>
      </c>
      <c r="Y141">
        <v>18561</v>
      </c>
      <c r="Z141">
        <v>20611</v>
      </c>
      <c r="AA141">
        <v>1</v>
      </c>
      <c r="AB141">
        <v>78.8</v>
      </c>
      <c r="AC141">
        <v>81.400000000000006</v>
      </c>
      <c r="AD141">
        <v>76.3</v>
      </c>
    </row>
    <row r="142" spans="1:30" x14ac:dyDescent="0.35">
      <c r="A142" s="1">
        <v>140</v>
      </c>
      <c r="B142">
        <v>2020</v>
      </c>
      <c r="C142">
        <v>3613647</v>
      </c>
      <c r="D142">
        <v>55.7</v>
      </c>
      <c r="E142">
        <v>10.9</v>
      </c>
      <c r="F142">
        <v>22.7</v>
      </c>
      <c r="G142">
        <v>10.406909351240049</v>
      </c>
      <c r="H142">
        <v>72.888030376114955</v>
      </c>
      <c r="I142">
        <v>5.3</v>
      </c>
      <c r="J142">
        <v>19582</v>
      </c>
      <c r="K142">
        <v>10859</v>
      </c>
      <c r="L142">
        <v>8723</v>
      </c>
      <c r="M142">
        <v>1848092</v>
      </c>
      <c r="N142">
        <v>1765555</v>
      </c>
      <c r="O142">
        <f t="shared" si="1"/>
        <v>51.142018022236257</v>
      </c>
      <c r="P142">
        <v>3342625</v>
      </c>
      <c r="Q142">
        <f>(P142/T142)*100</f>
        <v>92.27469529095049</v>
      </c>
      <c r="R142">
        <v>1852260</v>
      </c>
      <c r="S142">
        <v>1770212</v>
      </c>
      <c r="T142">
        <v>3622472</v>
      </c>
      <c r="U142">
        <v>1.0727</v>
      </c>
      <c r="V142">
        <v>1</v>
      </c>
      <c r="W142" t="s">
        <v>23</v>
      </c>
      <c r="X142" t="s">
        <v>22</v>
      </c>
      <c r="Y142">
        <v>17677</v>
      </c>
      <c r="Z142">
        <v>19842</v>
      </c>
      <c r="AA142">
        <v>1</v>
      </c>
      <c r="AB142">
        <v>77</v>
      </c>
      <c r="AC142">
        <v>79.900000000000006</v>
      </c>
      <c r="AD142">
        <v>74.2</v>
      </c>
    </row>
    <row r="143" spans="1:30" x14ac:dyDescent="0.35">
      <c r="A143" s="1">
        <v>141</v>
      </c>
      <c r="B143">
        <v>2021</v>
      </c>
      <c r="C143">
        <v>3664292</v>
      </c>
      <c r="D143">
        <v>56.3</v>
      </c>
      <c r="E143">
        <v>11</v>
      </c>
      <c r="F143">
        <v>25</v>
      </c>
      <c r="G143">
        <v>10.44328556722358</v>
      </c>
      <c r="H143">
        <v>71.405947986070515</v>
      </c>
      <c r="I143">
        <v>5.5</v>
      </c>
      <c r="J143">
        <v>19920</v>
      </c>
      <c r="K143">
        <v>10909</v>
      </c>
      <c r="L143">
        <v>9011</v>
      </c>
      <c r="M143">
        <v>1873416</v>
      </c>
      <c r="N143">
        <v>1790876</v>
      </c>
      <c r="O143">
        <f t="shared" si="1"/>
        <v>51.126274871107434</v>
      </c>
      <c r="P143">
        <v>3390343</v>
      </c>
      <c r="Q143">
        <f>(P143/T143)*100</f>
        <v>92.349042976639694</v>
      </c>
      <c r="R143">
        <v>1876783</v>
      </c>
      <c r="S143">
        <v>1794444</v>
      </c>
      <c r="T143">
        <v>3671227</v>
      </c>
      <c r="U143">
        <v>1.0883</v>
      </c>
      <c r="V143">
        <v>0.99490000000000001</v>
      </c>
      <c r="W143" t="s">
        <v>23</v>
      </c>
      <c r="X143" t="s">
        <v>22</v>
      </c>
      <c r="Y143">
        <v>17824</v>
      </c>
      <c r="Z143">
        <v>20391</v>
      </c>
      <c r="AA143">
        <v>1</v>
      </c>
      <c r="AB143">
        <v>76.400000000000006</v>
      </c>
      <c r="AC143">
        <v>79.3</v>
      </c>
      <c r="AD143">
        <v>73.5</v>
      </c>
    </row>
    <row r="144" spans="1:30" x14ac:dyDescent="0.35">
      <c r="A144" s="1">
        <v>142</v>
      </c>
      <c r="B144">
        <v>2022</v>
      </c>
      <c r="C144">
        <v>3667758</v>
      </c>
      <c r="D144">
        <v>56</v>
      </c>
      <c r="E144">
        <v>11</v>
      </c>
      <c r="F144">
        <v>28</v>
      </c>
      <c r="G144">
        <v>10.132347881185179</v>
      </c>
      <c r="H144">
        <v>69.449511118236259</v>
      </c>
      <c r="I144">
        <v>5.61</v>
      </c>
      <c r="J144">
        <v>20162</v>
      </c>
      <c r="K144">
        <v>11371</v>
      </c>
      <c r="L144">
        <v>9182</v>
      </c>
      <c r="M144">
        <v>1874446</v>
      </c>
      <c r="N144">
        <v>1793312</v>
      </c>
      <c r="O144">
        <f t="shared" si="1"/>
        <v>51.10604352849888</v>
      </c>
      <c r="P144">
        <v>3386139</v>
      </c>
      <c r="Q144">
        <f>(P144/T144)*100</f>
        <v>92.161178003396159</v>
      </c>
      <c r="R144">
        <v>1877256</v>
      </c>
      <c r="S144">
        <v>1796893</v>
      </c>
      <c r="T144">
        <v>3674149</v>
      </c>
      <c r="U144">
        <v>1.0963000000000001</v>
      </c>
      <c r="V144">
        <v>0.92749999999999999</v>
      </c>
      <c r="W144" t="s">
        <v>23</v>
      </c>
      <c r="X144" t="s">
        <v>22</v>
      </c>
      <c r="Y144">
        <v>16630</v>
      </c>
      <c r="Z144">
        <v>20533</v>
      </c>
      <c r="AA144">
        <v>1</v>
      </c>
      <c r="AB144">
        <v>77.5</v>
      </c>
      <c r="AC144">
        <v>80.2</v>
      </c>
      <c r="AD144">
        <v>74.8</v>
      </c>
    </row>
    <row r="145" spans="1:30" x14ac:dyDescent="0.35">
      <c r="A145" s="1">
        <v>143</v>
      </c>
      <c r="B145">
        <v>2023</v>
      </c>
      <c r="C145">
        <v>3596017</v>
      </c>
      <c r="D145">
        <v>54.5</v>
      </c>
      <c r="E145">
        <v>10.7</v>
      </c>
      <c r="F145">
        <v>27.3</v>
      </c>
      <c r="G145">
        <v>10.03109829569771</v>
      </c>
      <c r="H145">
        <v>68.603958212655826</v>
      </c>
      <c r="I145">
        <v>5.3</v>
      </c>
      <c r="J145">
        <v>20145</v>
      </c>
      <c r="K145">
        <v>11118</v>
      </c>
      <c r="L145">
        <v>9044</v>
      </c>
      <c r="M145">
        <v>1839794</v>
      </c>
      <c r="N145">
        <v>1756223</v>
      </c>
      <c r="O145">
        <f t="shared" si="1"/>
        <v>51.161993950529151</v>
      </c>
      <c r="P145">
        <v>3315158</v>
      </c>
      <c r="Q145">
        <f>(P145/T145)*100</f>
        <v>92.09798091398514</v>
      </c>
      <c r="R145">
        <v>1841130</v>
      </c>
      <c r="S145">
        <v>1758469</v>
      </c>
      <c r="T145">
        <v>3599599</v>
      </c>
      <c r="U145">
        <v>1.1359999999999999</v>
      </c>
      <c r="V145">
        <v>0.873</v>
      </c>
      <c r="W145" t="s">
        <v>23</v>
      </c>
      <c r="X145" t="s">
        <v>22</v>
      </c>
      <c r="Y145">
        <v>15270</v>
      </c>
      <c r="Z145">
        <v>20802</v>
      </c>
      <c r="AA145">
        <v>1</v>
      </c>
      <c r="AB145">
        <v>78.400000000000006</v>
      </c>
      <c r="AC145">
        <v>81.099999999999994</v>
      </c>
      <c r="AD145">
        <v>75.8</v>
      </c>
    </row>
    <row r="146" spans="1:30" x14ac:dyDescent="0.35">
      <c r="A146" s="1">
        <v>144</v>
      </c>
      <c r="B146">
        <v>2024</v>
      </c>
      <c r="C146">
        <v>3628934</v>
      </c>
      <c r="D146">
        <v>53.8</v>
      </c>
      <c r="F146">
        <v>25.6</v>
      </c>
      <c r="G146">
        <v>10.20867</v>
      </c>
      <c r="H146">
        <v>69.559409560000006</v>
      </c>
      <c r="I146">
        <v>5.52</v>
      </c>
      <c r="J146">
        <v>20048</v>
      </c>
      <c r="M146">
        <v>1853969</v>
      </c>
      <c r="N146">
        <v>1774965</v>
      </c>
      <c r="O146">
        <f t="shared" si="1"/>
        <v>51.088529028083727</v>
      </c>
      <c r="P146">
        <v>3343078</v>
      </c>
      <c r="Q146">
        <f>(P146/T146)*100</f>
        <v>92.135966694024773</v>
      </c>
      <c r="R146">
        <v>1853397</v>
      </c>
      <c r="S146">
        <v>1775021</v>
      </c>
      <c r="T146">
        <v>3628418</v>
      </c>
      <c r="U146">
        <v>1.2011000000000001</v>
      </c>
      <c r="V146">
        <v>0.8327</v>
      </c>
      <c r="W146" t="s">
        <v>23</v>
      </c>
      <c r="X146" t="s">
        <v>22</v>
      </c>
      <c r="Y146">
        <v>14718</v>
      </c>
      <c r="Z146">
        <v>22164</v>
      </c>
      <c r="AA146">
        <v>1</v>
      </c>
      <c r="AB146">
        <v>79</v>
      </c>
      <c r="AC146">
        <v>81.400000000000006</v>
      </c>
      <c r="AD146">
        <v>76.5</v>
      </c>
    </row>
    <row r="147" spans="1:30" x14ac:dyDescent="0.35">
      <c r="A147" s="2">
        <v>145</v>
      </c>
      <c r="B147">
        <v>2025</v>
      </c>
      <c r="C147">
        <v>3606400</v>
      </c>
      <c r="D147">
        <v>53.1</v>
      </c>
      <c r="G147">
        <v>9.5619399999999999</v>
      </c>
      <c r="H147">
        <v>69.184520000000006</v>
      </c>
      <c r="P147">
        <v>3315343</v>
      </c>
      <c r="Q147">
        <f>(P147/T147)*100</f>
        <v>92.253099619978812</v>
      </c>
      <c r="R147">
        <v>1835823</v>
      </c>
      <c r="S147">
        <v>1757924</v>
      </c>
      <c r="T147">
        <v>3593747</v>
      </c>
      <c r="U147">
        <v>1.1339999999999999</v>
      </c>
      <c r="V147">
        <v>0.77049999999999996</v>
      </c>
      <c r="W147" t="s">
        <v>23</v>
      </c>
      <c r="X147" t="s">
        <v>22</v>
      </c>
      <c r="Y147">
        <v>13544</v>
      </c>
      <c r="Z147">
        <v>20818</v>
      </c>
      <c r="AA147">
        <v>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3D7F-0486-434D-BEA9-376D734C1009}">
  <dimension ref="A1:I33"/>
  <sheetViews>
    <sheetView workbookViewId="0">
      <selection activeCell="B17" sqref="B17"/>
    </sheetView>
  </sheetViews>
  <sheetFormatPr defaultRowHeight="14.5" x14ac:dyDescent="0.35"/>
  <cols>
    <col min="8" max="8" width="9.453125" bestFit="1" customWidth="1"/>
  </cols>
  <sheetData>
    <row r="1" spans="1:9" x14ac:dyDescent="0.35">
      <c r="A1" t="s">
        <v>27</v>
      </c>
      <c r="B1" t="s">
        <v>28</v>
      </c>
      <c r="C1" t="s">
        <v>29</v>
      </c>
      <c r="D1" t="s">
        <v>51</v>
      </c>
      <c r="F1" t="s">
        <v>106</v>
      </c>
      <c r="H1" t="s">
        <v>109</v>
      </c>
      <c r="I1" t="s">
        <v>110</v>
      </c>
    </row>
    <row r="2" spans="1:9" x14ac:dyDescent="0.35">
      <c r="A2" s="3" t="s">
        <v>32</v>
      </c>
      <c r="B2" t="s">
        <v>30</v>
      </c>
      <c r="C2" t="s">
        <v>25</v>
      </c>
      <c r="D2" s="5" t="s">
        <v>53</v>
      </c>
      <c r="F2">
        <v>2024</v>
      </c>
      <c r="G2" s="3" t="s">
        <v>107</v>
      </c>
      <c r="H2" s="4">
        <v>45933</v>
      </c>
      <c r="I2" t="s">
        <v>114</v>
      </c>
    </row>
    <row r="3" spans="1:9" x14ac:dyDescent="0.35">
      <c r="A3" s="3" t="s">
        <v>32</v>
      </c>
      <c r="B3" t="s">
        <v>31</v>
      </c>
      <c r="C3" t="s">
        <v>26</v>
      </c>
      <c r="D3" s="5" t="s">
        <v>54</v>
      </c>
      <c r="F3">
        <v>2024</v>
      </c>
      <c r="G3" s="3" t="s">
        <v>116</v>
      </c>
      <c r="H3" s="4">
        <v>46143</v>
      </c>
      <c r="I3" t="s">
        <v>117</v>
      </c>
    </row>
    <row r="4" spans="1:9" x14ac:dyDescent="0.35">
      <c r="A4" s="3" t="s">
        <v>32</v>
      </c>
      <c r="B4" t="s">
        <v>33</v>
      </c>
      <c r="C4" t="s">
        <v>24</v>
      </c>
      <c r="D4" s="5" t="s">
        <v>55</v>
      </c>
      <c r="F4">
        <v>2024</v>
      </c>
      <c r="G4" s="3" t="s">
        <v>118</v>
      </c>
      <c r="H4" s="4">
        <v>46143</v>
      </c>
      <c r="I4" t="s">
        <v>119</v>
      </c>
    </row>
    <row r="5" spans="1:9" x14ac:dyDescent="0.35">
      <c r="A5" s="3" t="s">
        <v>34</v>
      </c>
      <c r="B5" t="s">
        <v>35</v>
      </c>
      <c r="C5" t="s">
        <v>3</v>
      </c>
      <c r="D5" s="5" t="s">
        <v>56</v>
      </c>
      <c r="F5">
        <v>2023</v>
      </c>
      <c r="G5" s="3" t="s">
        <v>120</v>
      </c>
      <c r="H5" s="4">
        <v>46143</v>
      </c>
      <c r="I5" t="s">
        <v>121</v>
      </c>
    </row>
    <row r="6" spans="1:9" x14ac:dyDescent="0.35">
      <c r="A6" s="3" t="s">
        <v>34</v>
      </c>
      <c r="B6" t="s">
        <v>36</v>
      </c>
      <c r="C6" t="s">
        <v>4</v>
      </c>
      <c r="D6" s="5" t="s">
        <v>57</v>
      </c>
      <c r="F6">
        <v>2025</v>
      </c>
      <c r="G6" s="3" t="s">
        <v>115</v>
      </c>
      <c r="H6" s="4">
        <v>46157</v>
      </c>
      <c r="I6" t="s">
        <v>122</v>
      </c>
    </row>
    <row r="7" spans="1:9" x14ac:dyDescent="0.35">
      <c r="A7" s="3" t="s">
        <v>37</v>
      </c>
      <c r="B7" t="s">
        <v>38</v>
      </c>
      <c r="C7" t="s">
        <v>40</v>
      </c>
      <c r="D7" s="5" t="s">
        <v>58</v>
      </c>
      <c r="F7" t="s">
        <v>126</v>
      </c>
      <c r="G7" t="s">
        <v>68</v>
      </c>
      <c r="H7" s="4">
        <v>46157</v>
      </c>
      <c r="I7" t="s">
        <v>131</v>
      </c>
    </row>
    <row r="8" spans="1:9" x14ac:dyDescent="0.35">
      <c r="A8" s="3" t="s">
        <v>37</v>
      </c>
      <c r="B8" t="s">
        <v>39</v>
      </c>
      <c r="C8" t="s">
        <v>41</v>
      </c>
      <c r="D8" s="5" t="s">
        <v>59</v>
      </c>
      <c r="F8" t="s">
        <v>126</v>
      </c>
      <c r="G8" t="s">
        <v>68</v>
      </c>
      <c r="H8" s="4">
        <v>46171</v>
      </c>
      <c r="I8" t="s">
        <v>135</v>
      </c>
    </row>
    <row r="9" spans="1:9" x14ac:dyDescent="0.35">
      <c r="A9" s="3" t="s">
        <v>37</v>
      </c>
      <c r="B9" t="s">
        <v>42</v>
      </c>
      <c r="C9" t="s">
        <v>44</v>
      </c>
      <c r="D9" s="5" t="s">
        <v>60</v>
      </c>
      <c r="F9">
        <v>2024</v>
      </c>
      <c r="G9" s="3" t="s">
        <v>136</v>
      </c>
      <c r="H9" s="4">
        <v>46217</v>
      </c>
      <c r="I9" t="s">
        <v>137</v>
      </c>
    </row>
    <row r="10" spans="1:9" x14ac:dyDescent="0.35">
      <c r="A10" s="3" t="s">
        <v>37</v>
      </c>
      <c r="B10" t="s">
        <v>43</v>
      </c>
      <c r="C10" t="s">
        <v>45</v>
      </c>
      <c r="D10" s="5" t="s">
        <v>61</v>
      </c>
      <c r="F10" t="s">
        <v>126</v>
      </c>
      <c r="G10" s="3" t="s">
        <v>141</v>
      </c>
      <c r="H10" s="4">
        <v>46275</v>
      </c>
      <c r="I10" t="s">
        <v>142</v>
      </c>
    </row>
    <row r="11" spans="1:9" x14ac:dyDescent="0.35">
      <c r="A11" s="3" t="s">
        <v>48</v>
      </c>
      <c r="B11" t="s">
        <v>46</v>
      </c>
      <c r="C11" t="s">
        <v>47</v>
      </c>
      <c r="D11" s="5" t="s">
        <v>62</v>
      </c>
      <c r="F11" t="s">
        <v>149</v>
      </c>
      <c r="G11" t="s">
        <v>150</v>
      </c>
      <c r="H11" s="4">
        <v>46275</v>
      </c>
      <c r="I11" t="s">
        <v>151</v>
      </c>
    </row>
    <row r="12" spans="1:9" x14ac:dyDescent="0.35">
      <c r="A12" s="7" t="s">
        <v>52</v>
      </c>
      <c r="B12" s="8" t="s">
        <v>49</v>
      </c>
      <c r="C12" s="8" t="s">
        <v>50</v>
      </c>
      <c r="D12" s="9" t="s">
        <v>63</v>
      </c>
      <c r="F12" t="s">
        <v>126</v>
      </c>
      <c r="G12" t="s">
        <v>68</v>
      </c>
      <c r="H12" s="4">
        <v>46275</v>
      </c>
      <c r="I12" t="s">
        <v>152</v>
      </c>
    </row>
    <row r="13" spans="1:9" x14ac:dyDescent="0.35">
      <c r="A13" s="8" t="s">
        <v>68</v>
      </c>
      <c r="B13" s="8" t="s">
        <v>64</v>
      </c>
      <c r="C13" s="8" t="s">
        <v>66</v>
      </c>
      <c r="D13" s="9" t="s">
        <v>128</v>
      </c>
    </row>
    <row r="14" spans="1:9" x14ac:dyDescent="0.35">
      <c r="A14" s="8" t="s">
        <v>68</v>
      </c>
      <c r="B14" s="8" t="s">
        <v>65</v>
      </c>
      <c r="C14" s="8" t="s">
        <v>67</v>
      </c>
      <c r="D14" s="9" t="s">
        <v>127</v>
      </c>
    </row>
    <row r="15" spans="1:9" x14ac:dyDescent="0.35">
      <c r="A15" s="3" t="s">
        <v>52</v>
      </c>
      <c r="B15" t="s">
        <v>69</v>
      </c>
      <c r="C15" t="s">
        <v>1</v>
      </c>
      <c r="D15" s="5" t="s">
        <v>70</v>
      </c>
    </row>
    <row r="16" spans="1:9" x14ac:dyDescent="0.35">
      <c r="A16" s="3" t="s">
        <v>52</v>
      </c>
      <c r="B16" t="s">
        <v>71</v>
      </c>
      <c r="C16" t="s">
        <v>2</v>
      </c>
      <c r="D16" s="5" t="s">
        <v>72</v>
      </c>
    </row>
    <row r="17" spans="1:4" x14ac:dyDescent="0.35">
      <c r="A17" s="3" t="s">
        <v>112</v>
      </c>
      <c r="B17" t="s">
        <v>73</v>
      </c>
      <c r="C17" t="s">
        <v>74</v>
      </c>
      <c r="D17" s="5" t="s">
        <v>111</v>
      </c>
    </row>
    <row r="18" spans="1:4" x14ac:dyDescent="0.35">
      <c r="A18" t="s">
        <v>68</v>
      </c>
      <c r="B18" t="s">
        <v>75</v>
      </c>
      <c r="C18" t="s">
        <v>76</v>
      </c>
      <c r="D18" s="5" t="s">
        <v>108</v>
      </c>
    </row>
    <row r="19" spans="1:4" x14ac:dyDescent="0.35">
      <c r="A19" t="s">
        <v>68</v>
      </c>
      <c r="B19" t="s">
        <v>77</v>
      </c>
      <c r="C19" t="s">
        <v>78</v>
      </c>
      <c r="D19" s="5" t="s">
        <v>79</v>
      </c>
    </row>
    <row r="20" spans="1:4" x14ac:dyDescent="0.35">
      <c r="A20" s="3" t="s">
        <v>113</v>
      </c>
      <c r="B20" t="s">
        <v>80</v>
      </c>
      <c r="C20" t="s">
        <v>81</v>
      </c>
      <c r="D20" s="5" t="s">
        <v>82</v>
      </c>
    </row>
    <row r="21" spans="1:4" x14ac:dyDescent="0.35">
      <c r="A21" s="3" t="s">
        <v>113</v>
      </c>
      <c r="B21" t="s">
        <v>83</v>
      </c>
      <c r="C21" t="s">
        <v>84</v>
      </c>
      <c r="D21" s="5" t="s">
        <v>85</v>
      </c>
    </row>
    <row r="22" spans="1:4" x14ac:dyDescent="0.35">
      <c r="A22" s="3" t="s">
        <v>92</v>
      </c>
      <c r="B22" t="s">
        <v>86</v>
      </c>
      <c r="C22" t="s">
        <v>88</v>
      </c>
      <c r="D22" s="5" t="s">
        <v>90</v>
      </c>
    </row>
    <row r="23" spans="1:4" x14ac:dyDescent="0.35">
      <c r="A23" s="3" t="s">
        <v>92</v>
      </c>
      <c r="B23" t="s">
        <v>87</v>
      </c>
      <c r="C23" t="s">
        <v>89</v>
      </c>
      <c r="D23" s="5" t="s">
        <v>91</v>
      </c>
    </row>
    <row r="24" spans="1:4" x14ac:dyDescent="0.35">
      <c r="A24" s="3" t="s">
        <v>99</v>
      </c>
      <c r="B24" t="s">
        <v>93</v>
      </c>
      <c r="C24" t="s">
        <v>95</v>
      </c>
      <c r="D24" s="5" t="s">
        <v>97</v>
      </c>
    </row>
    <row r="25" spans="1:4" x14ac:dyDescent="0.35">
      <c r="A25" s="3" t="s">
        <v>99</v>
      </c>
      <c r="B25" t="s">
        <v>94</v>
      </c>
      <c r="C25" t="s">
        <v>96</v>
      </c>
      <c r="D25" s="5" t="s">
        <v>98</v>
      </c>
    </row>
    <row r="26" spans="1:4" x14ac:dyDescent="0.35">
      <c r="A26" t="s">
        <v>68</v>
      </c>
      <c r="B26" t="s">
        <v>123</v>
      </c>
      <c r="C26" t="s">
        <v>124</v>
      </c>
      <c r="D26" s="5" t="s">
        <v>125</v>
      </c>
    </row>
    <row r="27" spans="1:4" x14ac:dyDescent="0.35">
      <c r="A27" t="s">
        <v>68</v>
      </c>
      <c r="B27" t="s">
        <v>132</v>
      </c>
      <c r="C27" t="s">
        <v>133</v>
      </c>
      <c r="D27" s="5" t="s">
        <v>134</v>
      </c>
    </row>
    <row r="28" spans="1:4" x14ac:dyDescent="0.35">
      <c r="A28" t="s">
        <v>68</v>
      </c>
      <c r="B28" t="s">
        <v>129</v>
      </c>
      <c r="C28" t="s">
        <v>130</v>
      </c>
      <c r="D28" s="5" t="s">
        <v>153</v>
      </c>
    </row>
    <row r="29" spans="1:4" x14ac:dyDescent="0.35">
      <c r="A29" t="s">
        <v>68</v>
      </c>
      <c r="B29" t="s">
        <v>100</v>
      </c>
      <c r="C29" t="s">
        <v>101</v>
      </c>
      <c r="D29" s="5" t="s">
        <v>102</v>
      </c>
    </row>
    <row r="30" spans="1:4" x14ac:dyDescent="0.35">
      <c r="A30" t="s">
        <v>103</v>
      </c>
      <c r="B30" t="s">
        <v>104</v>
      </c>
      <c r="C30" t="s">
        <v>0</v>
      </c>
      <c r="D30" s="5" t="s">
        <v>105</v>
      </c>
    </row>
    <row r="31" spans="1:4" x14ac:dyDescent="0.35">
      <c r="A31" s="3" t="s">
        <v>141</v>
      </c>
      <c r="B31" t="s">
        <v>138</v>
      </c>
      <c r="C31" t="s">
        <v>143</v>
      </c>
      <c r="D31" s="5" t="s">
        <v>144</v>
      </c>
    </row>
    <row r="32" spans="1:4" x14ac:dyDescent="0.35">
      <c r="A32" s="3" t="s">
        <v>141</v>
      </c>
      <c r="B32" t="s">
        <v>139</v>
      </c>
      <c r="C32" t="s">
        <v>145</v>
      </c>
      <c r="D32" s="5" t="s">
        <v>147</v>
      </c>
    </row>
    <row r="33" spans="1:4" x14ac:dyDescent="0.35">
      <c r="A33" s="3" t="s">
        <v>141</v>
      </c>
      <c r="B33" t="s">
        <v>140</v>
      </c>
      <c r="C33" t="s">
        <v>148</v>
      </c>
      <c r="D33" s="5" t="s">
        <v>146</v>
      </c>
    </row>
  </sheetData>
  <hyperlinks>
    <hyperlink ref="A2" r:id="rId1" display="https://www.cdc.gov/nchs/data-visualization/mortality-trends/" xr:uid="{48E2DAE0-21FF-4B36-93C9-44308A1DF3CE}"/>
    <hyperlink ref="A3" r:id="rId2" display="https://www.cdc.gov/nchs/data-visualization/mortality-trends/" xr:uid="{097FCCC1-96B9-49BF-A5EF-EF97577A1AE8}"/>
    <hyperlink ref="A4" r:id="rId3" display="https://www.cdc.gov/nchs/data-visualization/mortality-trends/" xr:uid="{B8C89CC8-1537-4CA2-A840-E5F7A0649C32}"/>
    <hyperlink ref="A5" r:id="rId4" display="https://www.ssa.gov/OACT/babynames/limits.html" xr:uid="{C56CD26C-D57B-4532-958D-19BF8183207C}"/>
    <hyperlink ref="A6" r:id="rId5" display="https://www.ssa.gov/OACT/babynames/limits.html" xr:uid="{C1B4BEAA-93A5-4B0E-9E38-FCDE370C8D3E}"/>
    <hyperlink ref="A7" r:id="rId6" display="https://www.ssa.gov/OACT/babynames/index.html" xr:uid="{77E9FD4D-F21E-4ED5-8255-94A7195707B2}"/>
    <hyperlink ref="A8" r:id="rId7" display="https://www.ssa.gov/OACT/babynames/index.html" xr:uid="{B454297D-D0DB-445D-A708-5D2F4C215D2C}"/>
    <hyperlink ref="A9:A10" r:id="rId8" display="https://www.ssa.gov/OACT/babynames/index.html" xr:uid="{C3EC9BFA-D195-4B2A-99B4-B4732063967C}"/>
    <hyperlink ref="A11" r:id="rId9" xr:uid="{726F6BF7-3F46-449D-88C5-E2B22CEBA966}"/>
    <hyperlink ref="A12" r:id="rId10" display="https://www.cdc.gov/nchs/data-visualization/natality-trends/" xr:uid="{998B7BF3-E69F-4D92-ACA9-90D56F106E9C}"/>
    <hyperlink ref="A15" r:id="rId11" display="https://www.cdc.gov/nchs/data-visualization/natality-trends/" xr:uid="{26CE546A-AA67-4F82-9F31-BE7898B00D57}"/>
    <hyperlink ref="A16" r:id="rId12" display="https://www.cdc.gov/nchs/data-visualization/natality-trends/" xr:uid="{6B73EB60-44B0-4F92-9AE8-89A6F0516233}"/>
    <hyperlink ref="A17" r:id="rId13" display="https://www.cdc.gov/nchs/data-visualization/mortality-trends/index.htm" xr:uid="{3EB311D2-F0E3-4027-B1F2-520881A8B886}"/>
    <hyperlink ref="A20" r:id="rId14" display="https://www.cdc.gov/nchs/data-visualization/mortality-trends/index.htm" xr:uid="{184E30D9-8776-48D6-AB96-817F63D45294}"/>
    <hyperlink ref="A21" r:id="rId15" display="https://www.cdc.gov/nchs/data-visualization/mortality-trends/index.htm" xr:uid="{0F67AB97-3C03-414F-8C6F-3AF693C88F65}"/>
    <hyperlink ref="A22:A23" r:id="rId16" display="https://www.cdc.gov/nchs/data-visualization/mortality-trends/index.htm" xr:uid="{1FBAF080-E6BB-430E-88E5-8C65A8526D24}"/>
    <hyperlink ref="A24" r:id="rId17" display="https://www.cdc.gov/nchs/data/nvsr/nvsr53/nvsr53_20.pdf" xr:uid="{120FD8DF-E7BC-4585-908D-2860ED9DFEB6}"/>
    <hyperlink ref="A25" r:id="rId18" display="https://www.cdc.gov/nchs/data/nvsr/nvsr53/nvsr53_20.pdf" xr:uid="{D2C2905A-3DA9-49B5-AB89-DAB30FAE956F}"/>
    <hyperlink ref="G2" r:id="rId19" display="https://www.cdc.gov/nchs/data/databriefs/db535.pdf" xr:uid="{DC70E03A-4771-4781-A30D-BAFF24EDEF67}"/>
    <hyperlink ref="G6" r:id="rId20" display="https://www.cdc.gov/nchs/data/vsrr/vsrr043.pdf" xr:uid="{3907F2FE-FB0B-422D-B8C8-73176069ED28}"/>
    <hyperlink ref="G3" r:id="rId21" display="https://wonder.cdc.gov/natality-current.html" xr:uid="{EA8F2969-1AD8-4070-AC11-2143030581F4}"/>
    <hyperlink ref="G4" r:id="rId22" display="https://stacks.cdc.gov/view/cdc/174638" xr:uid="{44E555E5-F389-478B-AD6F-2A0E68407EFE}"/>
    <hyperlink ref="G5" r:id="rId23" display="https://www.cdc.gov/nchs/data/vsrr/vsrr037.pdf" xr:uid="{1C393F76-605B-4703-9A10-8870FF8C1CA0}"/>
    <hyperlink ref="G9" r:id="rId24" display="https://www.cdc.gov/nchs/products/databriefs/db548.htm" xr:uid="{DD504305-05DF-4ED1-82ED-445FB5D8DE98}"/>
    <hyperlink ref="G10" r:id="rId25" display="https://www.ssa.gov/OACT/babynames/numberUSbirths.html" xr:uid="{1249625A-5AEC-402F-B49D-776EE1848A16}"/>
    <hyperlink ref="A31" r:id="rId26" display="https://www.ssa.gov/OACT/babynames/numberUSbirths.html" xr:uid="{77374B77-5DDF-40FC-8334-A41FBC030DEF}"/>
    <hyperlink ref="A32" r:id="rId27" display="https://www.ssa.gov/OACT/babynames/numberUSbirths.html" xr:uid="{05FDFF30-9CF0-4ACD-89DA-EAC727C6FBDF}"/>
    <hyperlink ref="A33" r:id="rId28" display="https://www.ssa.gov/OACT/babynames/numberUSbirths.html" xr:uid="{A0E7CB80-2263-4EB6-B0ED-7798096540AA}"/>
  </hyperlinks>
  <pageMargins left="0.7" right="0.7" top="0.75" bottom="0.75" header="0.3" footer="0.3"/>
  <pageSetup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Morris, Malin</cp:lastModifiedBy>
  <dcterms:created xsi:type="dcterms:W3CDTF">2025-03-31T20:45:37Z</dcterms:created>
  <dcterms:modified xsi:type="dcterms:W3CDTF">2026-09-10T15:22:48Z</dcterms:modified>
</cp:coreProperties>
</file>